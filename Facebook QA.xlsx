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Dashboard" sheetId="2" r:id="rId5"/>
    <sheet state="visible" name="Jira" sheetId="3" r:id="rId6"/>
  </sheets>
  <definedNames/>
  <calcPr/>
  <extLst>
    <ext uri="GoogleSheetsCustomDataVersion2">
      <go:sheetsCustomData xmlns:go="http://customooxmlschemas.google.com/" r:id="rId7" roundtripDataChecksum="jH/ZYjjXoklxWqb+GGzRLKCeCN6CTvaORd8GY5qnJfU="/>
    </ext>
  </extLst>
</workbook>
</file>

<file path=xl/sharedStrings.xml><?xml version="1.0" encoding="utf-8"?>
<sst xmlns="http://schemas.openxmlformats.org/spreadsheetml/2006/main" count="1275" uniqueCount="441">
  <si>
    <t>Facebook  |  QA Test Case Suite  |  Functional · Regression · Usability  |  Tester: Md Sayem Mottakee  |  Email: sayemmottakee2000@gmail.com</t>
  </si>
  <si>
    <t>TC ID</t>
  </si>
  <si>
    <t>Test Case Name</t>
  </si>
  <si>
    <t>Description</t>
  </si>
  <si>
    <t>Module</t>
  </si>
  <si>
    <t>Priority</t>
  </si>
  <si>
    <t>Severity</t>
  </si>
  <si>
    <t>Preconditions</t>
  </si>
  <si>
    <t>Step #</t>
  </si>
  <si>
    <t>Test Steps</t>
  </si>
  <si>
    <t>Test Data</t>
  </si>
  <si>
    <t>Expected Result</t>
  </si>
  <si>
    <t>Actual Result</t>
  </si>
  <si>
    <t>Status</t>
  </si>
  <si>
    <t>Test Type</t>
  </si>
  <si>
    <t>Environment</t>
  </si>
  <si>
    <t>Build/Version</t>
  </si>
  <si>
    <t>Executed By</t>
  </si>
  <si>
    <t>Exec. Date</t>
  </si>
  <si>
    <t>Jira Defect ID</t>
  </si>
  <si>
    <t>Comments</t>
  </si>
  <si>
    <t>TC_001</t>
  </si>
  <si>
    <t>Register with valid email</t>
  </si>
  <si>
    <t>New user creates account using valid email, name, DOB, and password.</t>
  </si>
  <si>
    <t>Registration</t>
  </si>
  <si>
    <t>High</t>
  </si>
  <si>
    <t>Critical</t>
  </si>
  <si>
    <t>Browser open; email not previously registered; internet connected.</t>
  </si>
  <si>
    <t>Go to facebook.com → Click 'Create new account' → Fill all fields with valid data → Click 'Sign Up'</t>
  </si>
  <si>
    <t>Name: Md Sayem Mottakee | Email: sayemmottakee2000@gmail.com | DOB: 01/Jan/1995 | Pass: Test@1234!</t>
  </si>
  <si>
    <t>Account created; confirmation email sent; user lands on confirm email screen.</t>
  </si>
  <si>
    <t>Pass</t>
  </si>
  <si>
    <t>Functional</t>
  </si>
  <si>
    <t>Chrome 124</t>
  </si>
  <si>
    <t>v.2026.04</t>
  </si>
  <si>
    <t>Md Sayem Mottakee</t>
  </si>
  <si>
    <t>2026-04-01</t>
  </si>
  <si>
    <t>TC_002</t>
  </si>
  <si>
    <t>Register with already-used email</t>
  </si>
  <si>
    <t>System rejects registration if the email is already linked to an existing account.</t>
  </si>
  <si>
    <t>Major</t>
  </si>
  <si>
    <t>Existing account linked to test email.</t>
  </si>
  <si>
    <t>Go to Sign Up → Enter already-registered email → Fill remaining fields → Click Sign Up</t>
  </si>
  <si>
    <t>Email: sayemmottakee2000@gmail.com (already registered)</t>
  </si>
  <si>
    <t>Error: 'It looks like you already have an account' displayed. Registration blocked.</t>
  </si>
  <si>
    <t>TC_003</t>
  </si>
  <si>
    <t>Register with invalid email format</t>
  </si>
  <si>
    <t>System validates email format and prevents submission with malformed email.</t>
  </si>
  <si>
    <t>Medium</t>
  </si>
  <si>
    <t>None.</t>
  </si>
  <si>
    <t>Go to Sign Up → Enter invalid email → Fill other fields → Click Sign Up</t>
  </si>
  <si>
    <t>Email: notanemail@@bad | Pass: Test@1234!</t>
  </si>
  <si>
    <t>Inline validation error on email field. Form does not submit.</t>
  </si>
  <si>
    <t>Firefox 125</t>
  </si>
  <si>
    <t>TC_004</t>
  </si>
  <si>
    <t>Register with weak password</t>
  </si>
  <si>
    <t>System enforces password strength and rejects weak passwords.</t>
  </si>
  <si>
    <t>Go to Sign Up → Fill valid name/email/DOB → Enter weak password → Click Sign Up</t>
  </si>
  <si>
    <t>Password: 123456</t>
  </si>
  <si>
    <t>Error: 'Choose a more secure password' shown. Account not created.</t>
  </si>
  <si>
    <t>2026-04-02</t>
  </si>
  <si>
    <t>TC_005</t>
  </si>
  <si>
    <t>Register with underage DOB</t>
  </si>
  <si>
    <t>System blocks registration for users under 13 per policy.</t>
  </si>
  <si>
    <t>Go to Sign Up → Enter DOB yielding age &lt; 13 → Complete other fields → Click Sign Up</t>
  </si>
  <si>
    <t>DOB: 01/Jan/2015 (age 11)</t>
  </si>
  <si>
    <t>Error displayed; account creation blocked with age policy message.</t>
  </si>
  <si>
    <t>TC_006</t>
  </si>
  <si>
    <t>Login with valid credentials</t>
  </si>
  <si>
    <t>Registered user logs in successfully and is directed to News Feed.</t>
  </si>
  <si>
    <t>Login</t>
  </si>
  <si>
    <t>Valid registered account exists.</t>
  </si>
  <si>
    <t>Go to facebook.com → Enter valid email and password → Click 'Log In'</t>
  </si>
  <si>
    <t>Email: sayemmottakee2000@gmail.com | Pass: Test@1234!</t>
  </si>
  <si>
    <t>User lands on News Feed. Name displayed in top nav.</t>
  </si>
  <si>
    <t>Smoke</t>
  </si>
  <si>
    <t>TC_007</t>
  </si>
  <si>
    <t>Login with wrong password</t>
  </si>
  <si>
    <t>System shows error and does not grant access with incorrect password.</t>
  </si>
  <si>
    <t>Valid account exists.</t>
  </si>
  <si>
    <t>Go to facebook.com → Enter valid email → Enter wrong password → Click Log In</t>
  </si>
  <si>
    <t>Email: sayemmottakee2000@gmail.com | Pass: WrongPass99</t>
  </si>
  <si>
    <t>Error: 'The password you've entered is incorrect.' Login denied.</t>
  </si>
  <si>
    <t>TC_008</t>
  </si>
  <si>
    <t>Login with unregistered email</t>
  </si>
  <si>
    <t>System shows appropriate error for unknown email.</t>
  </si>
  <si>
    <t>Go to facebook.com → Enter unregistered email → Any password → Click Log In</t>
  </si>
  <si>
    <t>Email: nobody@fake.net | Pass: Test@1234!</t>
  </si>
  <si>
    <t>Error: 'The email address you entered isn't connected to an account.'</t>
  </si>
  <si>
    <t>TC_009</t>
  </si>
  <si>
    <t>Account lockout after repeated failed logins</t>
  </si>
  <si>
    <t>Account temporarily locked after 5 consecutive wrong password attempts.</t>
  </si>
  <si>
    <t>Attempt login with wrong password 5 times consecutively</t>
  </si>
  <si>
    <t>Email: sayemmottakee2000@gmail.com | Wrong password repeated 5x</t>
  </si>
  <si>
    <t>Lockout message displayed. CAPTCHA or cooldown enforced.</t>
  </si>
  <si>
    <t>Fail</t>
  </si>
  <si>
    <t>Security</t>
  </si>
  <si>
    <t>FB-2201</t>
  </si>
  <si>
    <t>Lockout triggers after 8 attempts, not 5 as per spec</t>
  </si>
  <si>
    <t>TC_010</t>
  </si>
  <si>
    <t>Forgot password — reset via email</t>
  </si>
  <si>
    <t>User can successfully reset password using the Forgot Password flow.</t>
  </si>
  <si>
    <t>Account exists; email inbox accessible.</t>
  </si>
  <si>
    <t>Click 'Forgotten password?' → Enter email → Click Search → Click 'Send code' → Open email → Enter code → Set new password</t>
  </si>
  <si>
    <t>Email: sayemmottakee2000@gmail.com | New pass: NewPass@5678!</t>
  </si>
  <si>
    <t>Password reset. User can log in with new password immediately.</t>
  </si>
  <si>
    <t>Regression</t>
  </si>
  <si>
    <t>TC_011</t>
  </si>
  <si>
    <t>Remember me / stay logged in</t>
  </si>
  <si>
    <t>Selecting 'Remember me' persists login session across browser restarts.</t>
  </si>
  <si>
    <t>Minor</t>
  </si>
  <si>
    <t>User is on login page.</t>
  </si>
  <si>
    <t>Enter valid credentials → Check 'Stay logged in' → Log in → Close browser → Reopen → Navigate to facebook.com</t>
  </si>
  <si>
    <t>Same browser session, no incognito</t>
  </si>
  <si>
    <t>User remains logged in; News Feed loads without prompting for credentials.</t>
  </si>
  <si>
    <t>TC_012</t>
  </si>
  <si>
    <t>Login via Facebook mobile app (Android)</t>
  </si>
  <si>
    <t>User logs in on Android app and News Feed loads correctly.</t>
  </si>
  <si>
    <t>Facebook app installed on Android 14; account exists.</t>
  </si>
  <si>
    <t>Open Facebook app → Enter valid email and password → Tap Log In</t>
  </si>
  <si>
    <t>App loads News Feed. Stories, posts, and nav bar visible.</t>
  </si>
  <si>
    <t>Android 14</t>
  </si>
  <si>
    <t>TC_013</t>
  </si>
  <si>
    <t>News Feed loads posts</t>
  </si>
  <si>
    <t>After login, News Feed displays recent posts from friends and followed pages.</t>
  </si>
  <si>
    <t>News Feed</t>
  </si>
  <si>
    <t>User logged in; has friends with recent posts.</t>
  </si>
  <si>
    <t>Log in → Observe News Feed on home screen</t>
  </si>
  <si>
    <t>Account with 50+ friends</t>
  </si>
  <si>
    <t>News Feed shows posts in order. Text, images, videos load.</t>
  </si>
  <si>
    <t>2026-04-03</t>
  </si>
  <si>
    <t>TC_014</t>
  </si>
  <si>
    <t>Infinite scroll loads more posts</t>
  </si>
  <si>
    <t>Scrolling to bottom of News Feed loads additional posts automatically.</t>
  </si>
  <si>
    <t>User logged in; News Feed has content.</t>
  </si>
  <si>
    <t>Log in → Scroll to bottom of News Feed → Observe if more posts load</t>
  </si>
  <si>
    <t>N/A</t>
  </si>
  <si>
    <t>New batch of posts loads seamlessly. Spinner appears briefly during fetch.</t>
  </si>
  <si>
    <t>TC_015</t>
  </si>
  <si>
    <t>Like a post</t>
  </si>
  <si>
    <t>User can like a post and like count increments immediately.</t>
  </si>
  <si>
    <t>User logged in; post visible in feed.</t>
  </si>
  <si>
    <t>Find any post in feed → Click the 👍 Like button</t>
  </si>
  <si>
    <t>Like button turns blue. Like count increments by 1. Persists on refresh.</t>
  </si>
  <si>
    <t>TC_016</t>
  </si>
  <si>
    <t>React to a post with emoji reaction</t>
  </si>
  <si>
    <t>User can select an emoji reaction beyond basic Like.</t>
  </si>
  <si>
    <t>Hover over Like button → Select 'Love' reaction</t>
  </si>
  <si>
    <t>Reaction: Love ❤️</t>
  </si>
  <si>
    <t>Love reaction applied. Counter updates. Button shows ❤️ icon.</t>
  </si>
  <si>
    <t>TC_017</t>
  </si>
  <si>
    <t>Comment on a post</t>
  </si>
  <si>
    <t>User can write and submit a comment on any post.</t>
  </si>
  <si>
    <t>Click 'Comment' on a post → Type a comment → Press Enter</t>
  </si>
  <si>
    <t>Comment: 'Great post! 😊'</t>
  </si>
  <si>
    <t>Comment appears below post immediately with user name and avatar.</t>
  </si>
  <si>
    <t>TC_018</t>
  </si>
  <si>
    <t>Share a post to timeline</t>
  </si>
  <si>
    <t>User can share a post to their own timeline.</t>
  </si>
  <si>
    <t>User logged in; shareable post visible.</t>
  </si>
  <si>
    <t>Click 'Share' → Select 'Share to your timeline' → Add message → Click Post</t>
  </si>
  <si>
    <t>Share message: 'Sharing this interesting article'</t>
  </si>
  <si>
    <t>Post appears on user timeline. Share count on original increments.</t>
  </si>
  <si>
    <t>2026-04-04</t>
  </si>
  <si>
    <t>TC_019</t>
  </si>
  <si>
    <t>Hide a post from feed</t>
  </si>
  <si>
    <t>User can hide a post and it no longer appears in feed.</t>
  </si>
  <si>
    <t>Click ··· (More) on any post → Select 'Hide post'</t>
  </si>
  <si>
    <t>Post disappears from feed. Undo snackbar appears briefly.</t>
  </si>
  <si>
    <t>Usability</t>
  </si>
  <si>
    <t>TC_020</t>
  </si>
  <si>
    <t>Report a post</t>
  </si>
  <si>
    <t>User can report a post for violating community standards.</t>
  </si>
  <si>
    <t>User logged in; any post visible.</t>
  </si>
  <si>
    <t>Click ··· on post → Select 'Report post' → Choose reason → Submit</t>
  </si>
  <si>
    <t>Reason: 'Hate speech'</t>
  </si>
  <si>
    <t>Confirmation: 'Thanks for letting us know'. Report submitted.</t>
  </si>
  <si>
    <t>TC_021</t>
  </si>
  <si>
    <t>Create a text-only post</t>
  </si>
  <si>
    <t>User creates and publishes a plain text post to their timeline.</t>
  </si>
  <si>
    <t>Create Post</t>
  </si>
  <si>
    <t>User logged in.</t>
  </si>
  <si>
    <t>Click 'What's on your mind?' box → Type text → Click Post</t>
  </si>
  <si>
    <t>Post text: 'Testing Facebook post creation ✅'</t>
  </si>
  <si>
    <t>Post appears on timeline and in friends feeds. Timestamp shown.</t>
  </si>
  <si>
    <t>TC_022</t>
  </si>
  <si>
    <t>Create a post with photo upload</t>
  </si>
  <si>
    <t>User attaches one or more photos to a post.</t>
  </si>
  <si>
    <t>User logged in; image file available (&lt;25MB, JPEG).</t>
  </si>
  <si>
    <t>Open post composer → Click Photo/Video icon → Select image file → Add caption → Click Post</t>
  </si>
  <si>
    <t>File: test_image.jpg (2MB, 1920×1080)</t>
  </si>
  <si>
    <t>Post published with image. Image renders correctly in feed.</t>
  </si>
  <si>
    <t>TC_023</t>
  </si>
  <si>
    <t>Create a post with video upload</t>
  </si>
  <si>
    <t>User attaches a video to a post.</t>
  </si>
  <si>
    <t>User logged in; MP4 file &lt;4GB available.</t>
  </si>
  <si>
    <t>Open post composer → Click Photo/Video → Select video → Add caption → Click Post</t>
  </si>
  <si>
    <t>File: test_video.mp4 (50MB, 1080p, 60s)</t>
  </si>
  <si>
    <t>Video uploaded and post published. Video plays inline in feed with controls.</t>
  </si>
  <si>
    <t>2026-04-05</t>
  </si>
  <si>
    <t>FB-2215</t>
  </si>
  <si>
    <t>Video stuck at 99% upload; post does not publish</t>
  </si>
  <si>
    <t>TC_024</t>
  </si>
  <si>
    <t>Post privacy set to Friends only</t>
  </si>
  <si>
    <t>Post visibility can be restricted to Friends only.</t>
  </si>
  <si>
    <t>Open post composer → Click audience selector → Select 'Friends' → Type post → Click Post</t>
  </si>
  <si>
    <t>Privacy: Friends | Post: 'This is a friends-only post'</t>
  </si>
  <si>
    <t>Post published. Audience icon shows 👥 Friends.</t>
  </si>
  <si>
    <t>TC_025</t>
  </si>
  <si>
    <t>Post with location tag</t>
  </si>
  <si>
    <t>User can add their current location to a post.</t>
  </si>
  <si>
    <t>User logged in; location permission granted.</t>
  </si>
  <si>
    <t>Open post composer → Click 📍 Check in → Search 'Dhaka, Bangladesh' → Select → Click Post</t>
  </si>
  <si>
    <t>Location: Dhaka, Bangladesh</t>
  </si>
  <si>
    <t>Post includes location tag. Clicking location opens map view.</t>
  </si>
  <si>
    <t>TC_026</t>
  </si>
  <si>
    <t>Tag a friend in a post</t>
  </si>
  <si>
    <t>User can tag a friend in a post using @mention.</t>
  </si>
  <si>
    <t>User logged in; has at least one friend.</t>
  </si>
  <si>
    <t>Open post composer → Type '@' + friend name → Select from suggestion → Post</t>
  </si>
  <si>
    <t>Tag: @TestFriend01</t>
  </si>
  <si>
    <t>Friend tagged. Post shows their name as a link.</t>
  </si>
  <si>
    <t>TC_027</t>
  </si>
  <si>
    <t>Edit a published post</t>
  </si>
  <si>
    <t>User can edit the text of a post they already published.</t>
  </si>
  <si>
    <t>User has an existing published post.</t>
  </si>
  <si>
    <t>Go to own timeline → Find post → Click ··· → Edit post → Modify text → Save</t>
  </si>
  <si>
    <t>Original: 'Hello world' → Edited: 'Hello Facebook!'</t>
  </si>
  <si>
    <t>Post updated with new text. 'Edited' label appears below post.</t>
  </si>
  <si>
    <t>TC_028</t>
  </si>
  <si>
    <t>Delete a published post</t>
  </si>
  <si>
    <t>User can permanently delete their own post.</t>
  </si>
  <si>
    <t>Go to own timeline → Find post → Click ··· → Move to Trash → Confirm Delete</t>
  </si>
  <si>
    <t>Post removed from timeline and feed.</t>
  </si>
  <si>
    <t>TC_029</t>
  </si>
  <si>
    <t>Update profile picture</t>
  </si>
  <si>
    <t>User can upload a new profile picture.</t>
  </si>
  <si>
    <t>Profile</t>
  </si>
  <si>
    <t>Go to profile → Click current profile picture → Select 'Upload photo' → Choose image → Crop → Save</t>
  </si>
  <si>
    <t>File: profile_pic.jpg (500KB)</t>
  </si>
  <si>
    <t>New profile picture saved. Thumbnail updated across all surfaces.</t>
  </si>
  <si>
    <t>TC_030</t>
  </si>
  <si>
    <t>Update cover photo</t>
  </si>
  <si>
    <t>User can upload a cover photo to their profile.</t>
  </si>
  <si>
    <t>Go to profile → Click cover photo area → Upload photo → Position → Save</t>
  </si>
  <si>
    <t>File: cover_photo.jpg (2MB, 1640×859)</t>
  </si>
  <si>
    <t>Cover photo updated. Visible immediately on profile.</t>
  </si>
  <si>
    <t>TC_031</t>
  </si>
  <si>
    <t>Update bio / intro</t>
  </si>
  <si>
    <t>User can add or edit the bio/intro section on their profile.</t>
  </si>
  <si>
    <t>Go to profile → Click 'Edit profile' → Update bio → Save</t>
  </si>
  <si>
    <t>Bio: 'QA Engineer | Testing the world one bug at a time 🐛'</t>
  </si>
  <si>
    <t>Bio saved and visible on profile.</t>
  </si>
  <si>
    <t>TC_032</t>
  </si>
  <si>
    <t>Profile visibility — privacy settings</t>
  </si>
  <si>
    <t>Changing profile privacy affects who can view the profile.</t>
  </si>
  <si>
    <t>User logged in; second test account available.</t>
  </si>
  <si>
    <t>Settings → Privacy → Who can see future posts → Change to 'Only me' → Verify from second account</t>
  </si>
  <si>
    <t>Second account: viewer test session</t>
  </si>
  <si>
    <t>Profile content hidden from other viewer per selected privacy setting.</t>
  </si>
  <si>
    <t>TC_033</t>
  </si>
  <si>
    <t>Send friend request</t>
  </si>
  <si>
    <t>User can send a friend request to another user.</t>
  </si>
  <si>
    <t>Friends</t>
  </si>
  <si>
    <t>Two test accounts exist; not currently friends.</t>
  </si>
  <si>
    <t>Log in as User A → Search for User B → Open profile → Click 'Add Friend'</t>
  </si>
  <si>
    <t>User A: Test Account A | User B: Test Account B</t>
  </si>
  <si>
    <t>Friend request sent. Button changes to 'Friend request sent'.</t>
  </si>
  <si>
    <t>TC_034</t>
  </si>
  <si>
    <t>Accept friend request</t>
  </si>
  <si>
    <t>User B can accept a pending friend request from User A.</t>
  </si>
  <si>
    <t>Pending friend request exists.</t>
  </si>
  <si>
    <t>Log in as User B → Go to Friend Requests → Click 'Confirm' next to User A</t>
  </si>
  <si>
    <t>Pending request from Test Account A</t>
  </si>
  <si>
    <t>Both users are now friends. Each appears in the other's friends list.</t>
  </si>
  <si>
    <t>TC_035</t>
  </si>
  <si>
    <t>Decline friend request</t>
  </si>
  <si>
    <t>User B can decline a friend request without connecting.</t>
  </si>
  <si>
    <t>Log in as User B → Friend Requests → Click 'Delete Request'</t>
  </si>
  <si>
    <t>Request removed. No connection made. No notification sent to sender.</t>
  </si>
  <si>
    <t>TC_036</t>
  </si>
  <si>
    <t>Unfriend a user</t>
  </si>
  <si>
    <t>User can remove an existing friend from their friend list.</t>
  </si>
  <si>
    <t>Two accounts are currently friends.</t>
  </si>
  <si>
    <t>Go to friend's profile → Click 'Friends' button → Select 'Unfriend' → Confirm</t>
  </si>
  <si>
    <t>Friend removed from friends list. No notification sent.</t>
  </si>
  <si>
    <t>TC_037</t>
  </si>
  <si>
    <t>People You May Know suggestions</t>
  </si>
  <si>
    <t>System suggests relevant friend suggestions on the Friends page.</t>
  </si>
  <si>
    <t>User logged in; has existing friends and profile data.</t>
  </si>
  <si>
    <t>Go to Friends tab → Review 'People You May Know' section</t>
  </si>
  <si>
    <t>At least 5 suggestions shown with 'Add Friend' button.</t>
  </si>
  <si>
    <t>TC_038</t>
  </si>
  <si>
    <t>Send a text message via Messenger</t>
  </si>
  <si>
    <t>User can send a text message to a friend via Messenger.</t>
  </si>
  <si>
    <t>Messaging</t>
  </si>
  <si>
    <t>Two accounts are friends; Messenger accessible.</t>
  </si>
  <si>
    <t>Click Messenger icon → Open conversation → Type message → Press Enter</t>
  </si>
  <si>
    <t>Message: 'Hello from QA testing! 👋'</t>
  </si>
  <si>
    <t>Message delivered. Seen receipt shown.</t>
  </si>
  <si>
    <t>TC_039</t>
  </si>
  <si>
    <t>Send an image via Messenger</t>
  </si>
  <si>
    <t>User can send an image file through Messenger.</t>
  </si>
  <si>
    <t>Two accounts are friends; image file available.</t>
  </si>
  <si>
    <t>Open Messenger conversation → Click 📎 attachment → Select image → Send</t>
  </si>
  <si>
    <t>File: chat_image.jpg (500KB)</t>
  </si>
  <si>
    <t>Image sent and displayed inline. Recipient can open full-size.</t>
  </si>
  <si>
    <t>TC_040</t>
  </si>
  <si>
    <t>Message request from non-friend</t>
  </si>
  <si>
    <t>Non-friend message goes to Message Requests, not main inbox.</t>
  </si>
  <si>
    <t>Two accounts exist; they are NOT friends.</t>
  </si>
  <si>
    <t>Log in as non-friend account → Open Messenger → Send message to test user</t>
  </si>
  <si>
    <t>Message: 'Hi, we haven't met'</t>
  </si>
  <si>
    <t>Message goes to Message Requests. Not in main inbox.</t>
  </si>
  <si>
    <t>TC_041</t>
  </si>
  <si>
    <t>Delete a Messenger conversation</t>
  </si>
  <si>
    <t>User can delete a conversation from their inbox.</t>
  </si>
  <si>
    <t>User has at least one existing conversation.</t>
  </si>
  <si>
    <t>Open Messenger → Click ··· on conversation → Select Delete → Confirm</t>
  </si>
  <si>
    <t>Conversation removed from inbox. Other participant's copy unaffected.</t>
  </si>
  <si>
    <t>TC_042</t>
  </si>
  <si>
    <t>Receive notification for post like</t>
  </si>
  <si>
    <t>User receives a notification when someone likes their post.</t>
  </si>
  <si>
    <t>Notifications</t>
  </si>
  <si>
    <t>User has a public post; second account is a friend.</t>
  </si>
  <si>
    <t>Log in as Account B → Like Account A's post → Log in as Account A → Check notification bell</t>
  </si>
  <si>
    <t>Account B liked post</t>
  </si>
  <si>
    <t>Notification: '[User] liked your photo.' appears in notification list.</t>
  </si>
  <si>
    <t>TC_043</t>
  </si>
  <si>
    <t>Receive notification for comment</t>
  </si>
  <si>
    <t>User notified when someone comments on their post.</t>
  </si>
  <si>
    <t>User has a post; second friend account available.</t>
  </si>
  <si>
    <t>Account B comments on Account A's post → Account A checks notifications</t>
  </si>
  <si>
    <t>Comment: 'Nice one!'</t>
  </si>
  <si>
    <t>Notification: '[User] commented on your post.' shown in bell dropdown.</t>
  </si>
  <si>
    <t>TC_044</t>
  </si>
  <si>
    <t>Mark all notifications as read</t>
  </si>
  <si>
    <t>User can mark all notifications as read at once.</t>
  </si>
  <si>
    <t>User has unread notifications.</t>
  </si>
  <si>
    <t>Click notification bell → Click '···' → Select 'Mark all as read'</t>
  </si>
  <si>
    <t>All notifications marked read. Badge count resets to 0.</t>
  </si>
  <si>
    <t>FB-2231</t>
  </si>
  <si>
    <t>Badge count does not reset; requires page refresh</t>
  </si>
  <si>
    <t>TC_045</t>
  </si>
  <si>
    <t>Search for a person by name</t>
  </si>
  <si>
    <t>Search returns matching user profiles.</t>
  </si>
  <si>
    <t>Search</t>
  </si>
  <si>
    <t>User logged in; searched profile exists.</t>
  </si>
  <si>
    <t>Click search bar → Type a person's name → Press Enter → Review results</t>
  </si>
  <si>
    <t>Query: Test user full name</t>
  </si>
  <si>
    <t>Results page shows matching profiles.</t>
  </si>
  <si>
    <t>TC_046</t>
  </si>
  <si>
    <t>Search for a Facebook Page</t>
  </si>
  <si>
    <t>Search can surface public Pages.</t>
  </si>
  <si>
    <t>Type 'NASA' in search bar → Press Enter → Click 'Pages' filter</t>
  </si>
  <si>
    <t>Query: NASA</t>
  </si>
  <si>
    <t>NASA's official Facebook Page appears in results with Follow button.</t>
  </si>
  <si>
    <t>TC_047</t>
  </si>
  <si>
    <t>Search with empty query</t>
  </si>
  <si>
    <t>Submitting empty search does not crash or show errors.</t>
  </si>
  <si>
    <t>Click search bar → Press Enter without typing anything</t>
  </si>
  <si>
    <t>Query: (empty)</t>
  </si>
  <si>
    <t>No crash. Trending or recent searches shown as fallback.</t>
  </si>
  <si>
    <t>TC_048</t>
  </si>
  <si>
    <t>Create a new Facebook Group</t>
  </si>
  <si>
    <t>User can create a new public or private group.</t>
  </si>
  <si>
    <t>Groups</t>
  </si>
  <si>
    <t>Go to Groups → Click 'Create new group' → Enter name, privacy (Private) → Click Create</t>
  </si>
  <si>
    <t>Group name: 'QA Testers Bangladesh' | Privacy: Private</t>
  </si>
  <si>
    <t>Group created. User is admin. Group page loads with invite option.</t>
  </si>
  <si>
    <t>TC_049</t>
  </si>
  <si>
    <t>Join a public group</t>
  </si>
  <si>
    <t>User can join an existing public group.</t>
  </si>
  <si>
    <t>User logged in; a public group exists.</t>
  </si>
  <si>
    <t>Search for public group → Open group page → Click 'Join Group'</t>
  </si>
  <si>
    <t>Group: public, open join</t>
  </si>
  <si>
    <t>User joins immediately. Group posts appear in feed.</t>
  </si>
  <si>
    <t>TC_050</t>
  </si>
  <si>
    <t>List an item on Marketplace</t>
  </si>
  <si>
    <t>User can create a Marketplace listing with title, price, and photo.</t>
  </si>
  <si>
    <t>Marketplace</t>
  </si>
  <si>
    <t>User logged in; image file available.</t>
  </si>
  <si>
    <t>Go to Marketplace → Click 'Create new listing' → Fill title, price, category, photo → Publish</t>
  </si>
  <si>
    <t>Title: 'Mechanical Keyboard' | Price: 2500 BDT | Category: Electronics</t>
  </si>
  <si>
    <t>Listing published and visible on Marketplace.</t>
  </si>
  <si>
    <t>TC_051</t>
  </si>
  <si>
    <t>Mobile responsiveness — News Feed on iOS</t>
  </si>
  <si>
    <t>News Feed renders correctly and is usable on iPhone/iOS.</t>
  </si>
  <si>
    <t>Facebook app installed on iPhone; user logged in.</t>
  </si>
  <si>
    <t>Open Facebook app on iPhone → Scroll News Feed → Like a post → Comment</t>
  </si>
  <si>
    <t>Device: iPhone 15, iOS 17.4</t>
  </si>
  <si>
    <t>Feed loads, scrolls smoothly. All interactive elements are tappable.</t>
  </si>
  <si>
    <t>iOS 17</t>
  </si>
  <si>
    <t>TC_052</t>
  </si>
  <si>
    <t>Page load time — News Feed under 3 seconds</t>
  </si>
  <si>
    <t>News Feed initial load should complete within 3 seconds on stable connection.</t>
  </si>
  <si>
    <t>User logged in; 50Mbps connection.</t>
  </si>
  <si>
    <t>Clear browser cache → Open facebook.com → Measure time until feed is interactive</t>
  </si>
  <si>
    <t>Network: 50Mbps broadband | Browser: Chrome 124</t>
  </si>
  <si>
    <t>News Feed is fully interactive within 3 seconds of navigation.</t>
  </si>
  <si>
    <t>Blocked</t>
  </si>
  <si>
    <t>Performance</t>
  </si>
  <si>
    <t>FB-2244</t>
  </si>
  <si>
    <t>Perf tool not available in current test env; deferred</t>
  </si>
  <si>
    <t>TC_053</t>
  </si>
  <si>
    <t>Logout clears session</t>
  </si>
  <si>
    <t>After logout, user cannot access authenticated pages without re-login.</t>
  </si>
  <si>
    <t>User is logged in.</t>
  </si>
  <si>
    <t>Click account menu → Click 'Log out' → Try to navigate to facebook.com/home</t>
  </si>
  <si>
    <t>Redirected to login page. No cached authenticated content displayed.</t>
  </si>
  <si>
    <t>TC_054</t>
  </si>
  <si>
    <t>Two-factor authentication (2FA) login</t>
  </si>
  <si>
    <t>Enabling 2FA requires code verification on login.</t>
  </si>
  <si>
    <t>2FA enabled on account; authenticator app configured.</t>
  </si>
  <si>
    <t>Enable 2FA in Security settings → Log out → Log in → Enter 6-digit code from authenticator</t>
  </si>
  <si>
    <t>2FA code from authenticator app</t>
  </si>
  <si>
    <t>Login requires and accepts the 2FA code. Access granted only after verification.</t>
  </si>
  <si>
    <t>TC_055</t>
  </si>
  <si>
    <t>Accessibility — keyboard navigation on login page</t>
  </si>
  <si>
    <t>All login page elements are reachable via keyboard alone.</t>
  </si>
  <si>
    <t>Browser with no mouse interaction.</t>
  </si>
  <si>
    <t>Navigate to facebook.com/login → Use Tab to move between fields → Use Enter to submit</t>
  </si>
  <si>
    <t>Keyboard only navigation</t>
  </si>
  <si>
    <t>Email, Password, Forgot Password, Log In, Create Account — all reachable via Tab. Submit via Enter works.</t>
  </si>
  <si>
    <t>FB-2248</t>
  </si>
  <si>
    <t>'Create new account' button skipped in Tab order</t>
  </si>
  <si>
    <t>📊  Facebook QA — Execution Dashboard  |  Md Sayem Mottakee</t>
  </si>
  <si>
    <t>Metric</t>
  </si>
  <si>
    <t>Count</t>
  </si>
  <si>
    <t>Total</t>
  </si>
  <si>
    <t>Total Test Cases</t>
  </si>
  <si>
    <t>Passed</t>
  </si>
  <si>
    <t>Failed</t>
  </si>
  <si>
    <t>Not Run</t>
  </si>
  <si>
    <t>Pass Rate (%)</t>
  </si>
  <si>
    <t>Fail Rate (%)</t>
  </si>
  <si>
    <t>High Priority TCs</t>
  </si>
  <si>
    <t>Critical Severity</t>
  </si>
  <si>
    <t>Summary</t>
  </si>
  <si>
    <t>Precondition</t>
  </si>
  <si>
    <t>Test Step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</si>
</sst>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&quot;%&quot;"/>
  </numFmts>
  <fonts count="12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222222"/>
      <name val="Arial"/>
    </font>
    <font>
      <color theme="1"/>
      <name val="Calibri"/>
      <scheme val="minor"/>
    </font>
    <font>
      <b/>
      <sz val="13.0"/>
      <color rgb="FFFFFFFF"/>
      <name val="Arial"/>
    </font>
    <font>
      <b/>
      <sz val="10.0"/>
      <color theme="1"/>
      <name val="Arial"/>
    </font>
    <font>
      <b/>
      <sz val="10.0"/>
      <color rgb="FF0A3D91"/>
      <name val="Arial"/>
    </font>
    <font>
      <b/>
      <sz val="9.0"/>
      <color theme="1"/>
      <name val="Arial"/>
    </font>
    <font>
      <sz val="9.0"/>
      <color theme="1"/>
      <name val="Arial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877F2"/>
        <bgColor rgb="FF1877F2"/>
      </patternFill>
    </fill>
    <fill>
      <patternFill patternType="solid">
        <fgColor rgb="FF0A3D91"/>
        <bgColor rgb="FF0A3D91"/>
      </patternFill>
    </fill>
    <fill>
      <patternFill patternType="solid">
        <fgColor rgb="FFFFFFFF"/>
        <bgColor rgb="FFFFFFFF"/>
      </patternFill>
    </fill>
    <fill>
      <patternFill patternType="solid">
        <fgColor rgb="FFF0F6FF"/>
        <bgColor rgb="FFF0F6FF"/>
      </patternFill>
    </fill>
    <fill>
      <patternFill patternType="solid">
        <fgColor rgb="FF4293F5"/>
        <bgColor rgb="FF4293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5D9F1"/>
      </left>
      <right style="thin">
        <color rgb="FFC5D9F1"/>
      </right>
      <top style="thin">
        <color rgb="FFC5D9F1"/>
      </top>
      <bottom style="thin">
        <color rgb="FFC5D9F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0" fillId="0" fontId="5" numFmtId="0" xfId="0" applyFont="1"/>
    <xf borderId="1" fillId="2" fontId="6" numFmtId="0" xfId="0" applyAlignment="1" applyBorder="1" applyFont="1">
      <alignment horizontal="center" readingOrder="0" vertical="center"/>
    </xf>
    <xf borderId="4" fillId="6" fontId="3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left" vertical="center"/>
    </xf>
    <xf borderId="4" fillId="5" fontId="8" numFmtId="0" xfId="0" applyAlignment="1" applyBorder="1" applyFont="1">
      <alignment horizontal="center" vertical="center"/>
    </xf>
    <xf borderId="4" fillId="5" fontId="9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left" vertical="center"/>
    </xf>
    <xf borderId="4" fillId="4" fontId="8" numFmtId="0" xfId="0" applyAlignment="1" applyBorder="1" applyFont="1">
      <alignment horizontal="center" vertical="center"/>
    </xf>
    <xf borderId="4" fillId="4" fontId="9" numFmtId="0" xfId="0" applyAlignment="1" applyBorder="1" applyFont="1">
      <alignment horizontal="left" vertical="center"/>
    </xf>
    <xf borderId="4" fillId="4" fontId="10" numFmtId="0" xfId="0" applyAlignment="1" applyBorder="1" applyFont="1">
      <alignment horizontal="center" vertical="center"/>
    </xf>
    <xf borderId="4" fillId="4" fontId="8" numFmtId="164" xfId="0" applyAlignment="1" applyBorder="1" applyFont="1" applyNumberFormat="1">
      <alignment horizontal="center" vertical="center"/>
    </xf>
    <xf borderId="4" fillId="5" fontId="8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6">
    <dxf>
      <font>
        <b/>
        <color rgb="FF276221"/>
      </font>
      <fill>
        <patternFill patternType="solid">
          <fgColor rgb="FFC6EFCE"/>
          <bgColor rgb="FFC6EFCE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C6500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D7D7"/>
          <bgColor rgb="FFFFD7D7"/>
        </patternFill>
      </fill>
      <border/>
    </dxf>
    <dxf>
      <font>
        <b/>
        <color rgb="FF7D4E00"/>
      </font>
      <fill>
        <patternFill patternType="solid">
          <fgColor rgb="FFFFF0CC"/>
          <bgColor rgb="FFFFF0CC"/>
        </patternFill>
      </fill>
      <border/>
    </dxf>
    <dxf>
      <font>
        <b/>
        <color rgb="FF276221"/>
      </font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77F2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32.0"/>
    <col customWidth="1" min="4" max="4" width="15.0"/>
    <col customWidth="1" min="5" max="5" width="10.0"/>
    <col customWidth="1" min="6" max="6" width="11.0"/>
    <col customWidth="1" min="7" max="7" width="28.0"/>
    <col customWidth="1" min="8" max="8" width="7.0"/>
    <col customWidth="1" min="9" max="9" width="36.0"/>
    <col customWidth="1" min="10" max="10" width="26.0"/>
    <col customWidth="1" min="11" max="12" width="30.0"/>
    <col customWidth="1" min="13" max="13" width="11.0"/>
    <col customWidth="1" min="14" max="14" width="14.0"/>
    <col customWidth="1" min="15" max="15" width="16.0"/>
    <col customWidth="1" min="16" max="16" width="13.0"/>
    <col customWidth="1" min="17" max="17" width="16.0"/>
    <col customWidth="1" min="18" max="18" width="13.0"/>
    <col customWidth="1" min="19" max="19" width="14.0"/>
    <col customWidth="1" min="20" max="20" width="26.0"/>
    <col customWidth="1" min="2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43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</row>
    <row r="3" ht="48.0" customHeight="1">
      <c r="A3" s="5" t="s">
        <v>21</v>
      </c>
      <c r="B3" s="6" t="s">
        <v>22</v>
      </c>
      <c r="C3" s="6" t="s">
        <v>23</v>
      </c>
      <c r="D3" s="5" t="s">
        <v>24</v>
      </c>
      <c r="E3" s="5" t="s">
        <v>25</v>
      </c>
      <c r="F3" s="5" t="s">
        <v>26</v>
      </c>
      <c r="G3" s="6" t="s">
        <v>27</v>
      </c>
      <c r="H3" s="5">
        <v>1.0</v>
      </c>
      <c r="I3" s="6" t="s">
        <v>28</v>
      </c>
      <c r="J3" s="6" t="s">
        <v>29</v>
      </c>
      <c r="K3" s="6" t="s">
        <v>30</v>
      </c>
      <c r="L3" s="6"/>
      <c r="M3" s="5" t="s">
        <v>31</v>
      </c>
      <c r="N3" s="5" t="s">
        <v>32</v>
      </c>
      <c r="O3" s="5" t="s">
        <v>33</v>
      </c>
      <c r="P3" s="5" t="s">
        <v>34</v>
      </c>
      <c r="Q3" s="5" t="s">
        <v>35</v>
      </c>
      <c r="R3" s="5" t="s">
        <v>36</v>
      </c>
      <c r="S3" s="5"/>
      <c r="T3" s="6"/>
    </row>
    <row r="4" ht="48.0" customHeight="1">
      <c r="A4" s="7" t="s">
        <v>37</v>
      </c>
      <c r="B4" s="8" t="s">
        <v>38</v>
      </c>
      <c r="C4" s="8" t="s">
        <v>39</v>
      </c>
      <c r="D4" s="7" t="s">
        <v>24</v>
      </c>
      <c r="E4" s="7" t="s">
        <v>25</v>
      </c>
      <c r="F4" s="7" t="s">
        <v>40</v>
      </c>
      <c r="G4" s="8" t="s">
        <v>41</v>
      </c>
      <c r="H4" s="7">
        <v>1.0</v>
      </c>
      <c r="I4" s="8" t="s">
        <v>42</v>
      </c>
      <c r="J4" s="8" t="s">
        <v>43</v>
      </c>
      <c r="K4" s="8" t="s">
        <v>44</v>
      </c>
      <c r="L4" s="8"/>
      <c r="M4" s="7" t="s">
        <v>31</v>
      </c>
      <c r="N4" s="7" t="s">
        <v>32</v>
      </c>
      <c r="O4" s="7" t="s">
        <v>33</v>
      </c>
      <c r="P4" s="7" t="s">
        <v>34</v>
      </c>
      <c r="Q4" s="7" t="s">
        <v>35</v>
      </c>
      <c r="R4" s="7" t="s">
        <v>36</v>
      </c>
      <c r="S4" s="7"/>
      <c r="T4" s="8"/>
    </row>
    <row r="5" ht="48.0" customHeight="1">
      <c r="A5" s="5" t="s">
        <v>45</v>
      </c>
      <c r="B5" s="6" t="s">
        <v>46</v>
      </c>
      <c r="C5" s="6" t="s">
        <v>47</v>
      </c>
      <c r="D5" s="5" t="s">
        <v>24</v>
      </c>
      <c r="E5" s="5" t="s">
        <v>48</v>
      </c>
      <c r="F5" s="5" t="s">
        <v>40</v>
      </c>
      <c r="G5" s="6" t="s">
        <v>49</v>
      </c>
      <c r="H5" s="5">
        <v>1.0</v>
      </c>
      <c r="I5" s="6" t="s">
        <v>50</v>
      </c>
      <c r="J5" s="6" t="s">
        <v>51</v>
      </c>
      <c r="K5" s="6" t="s">
        <v>52</v>
      </c>
      <c r="L5" s="6"/>
      <c r="M5" s="5" t="s">
        <v>31</v>
      </c>
      <c r="N5" s="5" t="s">
        <v>32</v>
      </c>
      <c r="O5" s="5" t="s">
        <v>53</v>
      </c>
      <c r="P5" s="5" t="s">
        <v>34</v>
      </c>
      <c r="Q5" s="5" t="s">
        <v>35</v>
      </c>
      <c r="R5" s="5" t="s">
        <v>36</v>
      </c>
      <c r="S5" s="5"/>
      <c r="T5" s="6"/>
    </row>
    <row r="6" ht="48.0" customHeight="1">
      <c r="A6" s="7" t="s">
        <v>54</v>
      </c>
      <c r="B6" s="8" t="s">
        <v>55</v>
      </c>
      <c r="C6" s="8" t="s">
        <v>56</v>
      </c>
      <c r="D6" s="7" t="s">
        <v>24</v>
      </c>
      <c r="E6" s="7" t="s">
        <v>25</v>
      </c>
      <c r="F6" s="7" t="s">
        <v>40</v>
      </c>
      <c r="G6" s="8" t="s">
        <v>49</v>
      </c>
      <c r="H6" s="7">
        <v>1.0</v>
      </c>
      <c r="I6" s="8" t="s">
        <v>57</v>
      </c>
      <c r="J6" s="8" t="s">
        <v>58</v>
      </c>
      <c r="K6" s="8" t="s">
        <v>59</v>
      </c>
      <c r="L6" s="8"/>
      <c r="M6" s="7" t="s">
        <v>31</v>
      </c>
      <c r="N6" s="7" t="s">
        <v>32</v>
      </c>
      <c r="O6" s="7" t="s">
        <v>33</v>
      </c>
      <c r="P6" s="7" t="s">
        <v>34</v>
      </c>
      <c r="Q6" s="7" t="s">
        <v>35</v>
      </c>
      <c r="R6" s="7" t="s">
        <v>60</v>
      </c>
      <c r="S6" s="7"/>
      <c r="T6" s="8"/>
    </row>
    <row r="7" ht="48.0" customHeight="1">
      <c r="A7" s="5" t="s">
        <v>61</v>
      </c>
      <c r="B7" s="6" t="s">
        <v>62</v>
      </c>
      <c r="C7" s="6" t="s">
        <v>63</v>
      </c>
      <c r="D7" s="5" t="s">
        <v>24</v>
      </c>
      <c r="E7" s="5" t="s">
        <v>25</v>
      </c>
      <c r="F7" s="5" t="s">
        <v>26</v>
      </c>
      <c r="G7" s="6" t="s">
        <v>49</v>
      </c>
      <c r="H7" s="5">
        <v>1.0</v>
      </c>
      <c r="I7" s="6" t="s">
        <v>64</v>
      </c>
      <c r="J7" s="6" t="s">
        <v>65</v>
      </c>
      <c r="K7" s="6" t="s">
        <v>66</v>
      </c>
      <c r="L7" s="6"/>
      <c r="M7" s="5" t="s">
        <v>31</v>
      </c>
      <c r="N7" s="5" t="s">
        <v>32</v>
      </c>
      <c r="O7" s="5" t="s">
        <v>33</v>
      </c>
      <c r="P7" s="5" t="s">
        <v>34</v>
      </c>
      <c r="Q7" s="5" t="s">
        <v>35</v>
      </c>
      <c r="R7" s="5" t="s">
        <v>60</v>
      </c>
      <c r="S7" s="5"/>
      <c r="T7" s="6"/>
    </row>
    <row r="8" ht="48.0" customHeight="1">
      <c r="A8" s="7" t="s">
        <v>67</v>
      </c>
      <c r="B8" s="8" t="s">
        <v>68</v>
      </c>
      <c r="C8" s="8" t="s">
        <v>69</v>
      </c>
      <c r="D8" s="7" t="s">
        <v>70</v>
      </c>
      <c r="E8" s="7" t="s">
        <v>25</v>
      </c>
      <c r="F8" s="7" t="s">
        <v>26</v>
      </c>
      <c r="G8" s="8" t="s">
        <v>71</v>
      </c>
      <c r="H8" s="7">
        <v>1.0</v>
      </c>
      <c r="I8" s="8" t="s">
        <v>72</v>
      </c>
      <c r="J8" s="8" t="s">
        <v>73</v>
      </c>
      <c r="K8" s="8" t="s">
        <v>74</v>
      </c>
      <c r="L8" s="8"/>
      <c r="M8" s="7" t="s">
        <v>31</v>
      </c>
      <c r="N8" s="7" t="s">
        <v>75</v>
      </c>
      <c r="O8" s="7" t="s">
        <v>33</v>
      </c>
      <c r="P8" s="7" t="s">
        <v>34</v>
      </c>
      <c r="Q8" s="7" t="s">
        <v>35</v>
      </c>
      <c r="R8" s="7" t="s">
        <v>36</v>
      </c>
      <c r="S8" s="7"/>
      <c r="T8" s="8"/>
    </row>
    <row r="9" ht="48.0" customHeight="1">
      <c r="A9" s="5" t="s">
        <v>76</v>
      </c>
      <c r="B9" s="6" t="s">
        <v>77</v>
      </c>
      <c r="C9" s="6" t="s">
        <v>78</v>
      </c>
      <c r="D9" s="5" t="s">
        <v>70</v>
      </c>
      <c r="E9" s="5" t="s">
        <v>25</v>
      </c>
      <c r="F9" s="5" t="s">
        <v>26</v>
      </c>
      <c r="G9" s="6" t="s">
        <v>79</v>
      </c>
      <c r="H9" s="5">
        <v>1.0</v>
      </c>
      <c r="I9" s="6" t="s">
        <v>80</v>
      </c>
      <c r="J9" s="6" t="s">
        <v>81</v>
      </c>
      <c r="K9" s="6" t="s">
        <v>82</v>
      </c>
      <c r="L9" s="6"/>
      <c r="M9" s="5" t="s">
        <v>31</v>
      </c>
      <c r="N9" s="5" t="s">
        <v>32</v>
      </c>
      <c r="O9" s="5" t="s">
        <v>33</v>
      </c>
      <c r="P9" s="5" t="s">
        <v>34</v>
      </c>
      <c r="Q9" s="5" t="s">
        <v>35</v>
      </c>
      <c r="R9" s="5" t="s">
        <v>36</v>
      </c>
      <c r="S9" s="5"/>
      <c r="T9" s="6"/>
    </row>
    <row r="10" ht="48.0" customHeight="1">
      <c r="A10" s="7" t="s">
        <v>83</v>
      </c>
      <c r="B10" s="8" t="s">
        <v>84</v>
      </c>
      <c r="C10" s="8" t="s">
        <v>85</v>
      </c>
      <c r="D10" s="7" t="s">
        <v>70</v>
      </c>
      <c r="E10" s="7" t="s">
        <v>48</v>
      </c>
      <c r="F10" s="7" t="s">
        <v>40</v>
      </c>
      <c r="G10" s="8" t="s">
        <v>49</v>
      </c>
      <c r="H10" s="7">
        <v>1.0</v>
      </c>
      <c r="I10" s="8" t="s">
        <v>86</v>
      </c>
      <c r="J10" s="8" t="s">
        <v>87</v>
      </c>
      <c r="K10" s="8" t="s">
        <v>88</v>
      </c>
      <c r="L10" s="8"/>
      <c r="M10" s="7" t="s">
        <v>31</v>
      </c>
      <c r="N10" s="7" t="s">
        <v>32</v>
      </c>
      <c r="O10" s="7" t="s">
        <v>53</v>
      </c>
      <c r="P10" s="7" t="s">
        <v>34</v>
      </c>
      <c r="Q10" s="7" t="s">
        <v>35</v>
      </c>
      <c r="R10" s="7" t="s">
        <v>36</v>
      </c>
      <c r="S10" s="7"/>
      <c r="T10" s="8"/>
    </row>
    <row r="11" ht="48.0" customHeight="1">
      <c r="A11" s="5" t="s">
        <v>89</v>
      </c>
      <c r="B11" s="6" t="s">
        <v>90</v>
      </c>
      <c r="C11" s="6" t="s">
        <v>91</v>
      </c>
      <c r="D11" s="5" t="s">
        <v>70</v>
      </c>
      <c r="E11" s="5" t="s">
        <v>25</v>
      </c>
      <c r="F11" s="5" t="s">
        <v>26</v>
      </c>
      <c r="G11" s="6" t="s">
        <v>79</v>
      </c>
      <c r="H11" s="5">
        <v>1.0</v>
      </c>
      <c r="I11" s="6" t="s">
        <v>92</v>
      </c>
      <c r="J11" s="6" t="s">
        <v>93</v>
      </c>
      <c r="K11" s="6" t="s">
        <v>94</v>
      </c>
      <c r="L11" s="6"/>
      <c r="M11" s="5" t="s">
        <v>95</v>
      </c>
      <c r="N11" s="5" t="s">
        <v>96</v>
      </c>
      <c r="O11" s="5" t="s">
        <v>33</v>
      </c>
      <c r="P11" s="5" t="s">
        <v>34</v>
      </c>
      <c r="Q11" s="5" t="s">
        <v>35</v>
      </c>
      <c r="R11" s="5" t="s">
        <v>60</v>
      </c>
      <c r="S11" s="5" t="s">
        <v>97</v>
      </c>
      <c r="T11" s="6" t="s">
        <v>98</v>
      </c>
    </row>
    <row r="12" ht="48.0" customHeight="1">
      <c r="A12" s="7" t="s">
        <v>99</v>
      </c>
      <c r="B12" s="8" t="s">
        <v>100</v>
      </c>
      <c r="C12" s="8" t="s">
        <v>101</v>
      </c>
      <c r="D12" s="7" t="s">
        <v>70</v>
      </c>
      <c r="E12" s="7" t="s">
        <v>25</v>
      </c>
      <c r="F12" s="7" t="s">
        <v>26</v>
      </c>
      <c r="G12" s="8" t="s">
        <v>102</v>
      </c>
      <c r="H12" s="7">
        <v>1.0</v>
      </c>
      <c r="I12" s="8" t="s">
        <v>103</v>
      </c>
      <c r="J12" s="8" t="s">
        <v>104</v>
      </c>
      <c r="K12" s="8" t="s">
        <v>105</v>
      </c>
      <c r="L12" s="8"/>
      <c r="M12" s="7" t="s">
        <v>31</v>
      </c>
      <c r="N12" s="7" t="s">
        <v>106</v>
      </c>
      <c r="O12" s="7" t="s">
        <v>33</v>
      </c>
      <c r="P12" s="7" t="s">
        <v>34</v>
      </c>
      <c r="Q12" s="7" t="s">
        <v>35</v>
      </c>
      <c r="R12" s="7" t="s">
        <v>60</v>
      </c>
      <c r="S12" s="7"/>
      <c r="T12" s="8"/>
    </row>
    <row r="13" ht="48.0" customHeight="1">
      <c r="A13" s="5" t="s">
        <v>107</v>
      </c>
      <c r="B13" s="6" t="s">
        <v>108</v>
      </c>
      <c r="C13" s="6" t="s">
        <v>109</v>
      </c>
      <c r="D13" s="5" t="s">
        <v>70</v>
      </c>
      <c r="E13" s="5" t="s">
        <v>48</v>
      </c>
      <c r="F13" s="5" t="s">
        <v>110</v>
      </c>
      <c r="G13" s="6" t="s">
        <v>111</v>
      </c>
      <c r="H13" s="5">
        <v>1.0</v>
      </c>
      <c r="I13" s="6" t="s">
        <v>112</v>
      </c>
      <c r="J13" s="6" t="s">
        <v>113</v>
      </c>
      <c r="K13" s="6" t="s">
        <v>114</v>
      </c>
      <c r="L13" s="6"/>
      <c r="M13" s="5" t="s">
        <v>31</v>
      </c>
      <c r="N13" s="5" t="s">
        <v>106</v>
      </c>
      <c r="O13" s="5" t="s">
        <v>33</v>
      </c>
      <c r="P13" s="5" t="s">
        <v>34</v>
      </c>
      <c r="Q13" s="5" t="s">
        <v>35</v>
      </c>
      <c r="R13" s="5" t="s">
        <v>60</v>
      </c>
      <c r="S13" s="5"/>
      <c r="T13" s="6"/>
    </row>
    <row r="14" ht="48.0" customHeight="1">
      <c r="A14" s="7" t="s">
        <v>115</v>
      </c>
      <c r="B14" s="8" t="s">
        <v>116</v>
      </c>
      <c r="C14" s="8" t="s">
        <v>117</v>
      </c>
      <c r="D14" s="7" t="s">
        <v>70</v>
      </c>
      <c r="E14" s="7" t="s">
        <v>25</v>
      </c>
      <c r="F14" s="7" t="s">
        <v>26</v>
      </c>
      <c r="G14" s="8" t="s">
        <v>118</v>
      </c>
      <c r="H14" s="7">
        <v>1.0</v>
      </c>
      <c r="I14" s="8" t="s">
        <v>119</v>
      </c>
      <c r="J14" s="8" t="s">
        <v>73</v>
      </c>
      <c r="K14" s="8" t="s">
        <v>120</v>
      </c>
      <c r="L14" s="8"/>
      <c r="M14" s="7" t="s">
        <v>31</v>
      </c>
      <c r="N14" s="7" t="s">
        <v>75</v>
      </c>
      <c r="O14" s="7" t="s">
        <v>121</v>
      </c>
      <c r="P14" s="7" t="s">
        <v>34</v>
      </c>
      <c r="Q14" s="7" t="s">
        <v>35</v>
      </c>
      <c r="R14" s="7" t="s">
        <v>60</v>
      </c>
      <c r="S14" s="7"/>
      <c r="T14" s="8"/>
    </row>
    <row r="15" ht="48.0" customHeight="1">
      <c r="A15" s="5" t="s">
        <v>122</v>
      </c>
      <c r="B15" s="6" t="s">
        <v>123</v>
      </c>
      <c r="C15" s="6" t="s">
        <v>124</v>
      </c>
      <c r="D15" s="5" t="s">
        <v>125</v>
      </c>
      <c r="E15" s="5" t="s">
        <v>25</v>
      </c>
      <c r="F15" s="5" t="s">
        <v>26</v>
      </c>
      <c r="G15" s="6" t="s">
        <v>126</v>
      </c>
      <c r="H15" s="5">
        <v>1.0</v>
      </c>
      <c r="I15" s="6" t="s">
        <v>127</v>
      </c>
      <c r="J15" s="6" t="s">
        <v>128</v>
      </c>
      <c r="K15" s="6" t="s">
        <v>129</v>
      </c>
      <c r="L15" s="6"/>
      <c r="M15" s="5" t="s">
        <v>31</v>
      </c>
      <c r="N15" s="5" t="s">
        <v>75</v>
      </c>
      <c r="O15" s="5" t="s">
        <v>33</v>
      </c>
      <c r="P15" s="5" t="s">
        <v>34</v>
      </c>
      <c r="Q15" s="5" t="s">
        <v>35</v>
      </c>
      <c r="R15" s="5" t="s">
        <v>130</v>
      </c>
      <c r="S15" s="5"/>
      <c r="T15" s="6"/>
    </row>
    <row r="16" ht="48.0" customHeight="1">
      <c r="A16" s="7" t="s">
        <v>131</v>
      </c>
      <c r="B16" s="8" t="s">
        <v>132</v>
      </c>
      <c r="C16" s="8" t="s">
        <v>133</v>
      </c>
      <c r="D16" s="7" t="s">
        <v>125</v>
      </c>
      <c r="E16" s="7" t="s">
        <v>25</v>
      </c>
      <c r="F16" s="7" t="s">
        <v>40</v>
      </c>
      <c r="G16" s="8" t="s">
        <v>134</v>
      </c>
      <c r="H16" s="7">
        <v>1.0</v>
      </c>
      <c r="I16" s="8" t="s">
        <v>135</v>
      </c>
      <c r="J16" s="8" t="s">
        <v>136</v>
      </c>
      <c r="K16" s="8" t="s">
        <v>137</v>
      </c>
      <c r="L16" s="8"/>
      <c r="M16" s="7" t="s">
        <v>31</v>
      </c>
      <c r="N16" s="7" t="s">
        <v>32</v>
      </c>
      <c r="O16" s="7" t="s">
        <v>33</v>
      </c>
      <c r="P16" s="7" t="s">
        <v>34</v>
      </c>
      <c r="Q16" s="7" t="s">
        <v>35</v>
      </c>
      <c r="R16" s="7" t="s">
        <v>130</v>
      </c>
      <c r="S16" s="7"/>
      <c r="T16" s="8"/>
    </row>
    <row r="17" ht="48.0" customHeight="1">
      <c r="A17" s="5" t="s">
        <v>138</v>
      </c>
      <c r="B17" s="6" t="s">
        <v>139</v>
      </c>
      <c r="C17" s="6" t="s">
        <v>140</v>
      </c>
      <c r="D17" s="5" t="s">
        <v>125</v>
      </c>
      <c r="E17" s="5" t="s">
        <v>25</v>
      </c>
      <c r="F17" s="5" t="s">
        <v>40</v>
      </c>
      <c r="G17" s="6" t="s">
        <v>141</v>
      </c>
      <c r="H17" s="5">
        <v>1.0</v>
      </c>
      <c r="I17" s="6" t="s">
        <v>142</v>
      </c>
      <c r="J17" s="6" t="s">
        <v>136</v>
      </c>
      <c r="K17" s="6" t="s">
        <v>143</v>
      </c>
      <c r="L17" s="6"/>
      <c r="M17" s="5" t="s">
        <v>31</v>
      </c>
      <c r="N17" s="5" t="s">
        <v>32</v>
      </c>
      <c r="O17" s="5" t="s">
        <v>33</v>
      </c>
      <c r="P17" s="5" t="s">
        <v>34</v>
      </c>
      <c r="Q17" s="5" t="s">
        <v>35</v>
      </c>
      <c r="R17" s="5" t="s">
        <v>130</v>
      </c>
      <c r="S17" s="5"/>
      <c r="T17" s="6"/>
    </row>
    <row r="18" ht="48.0" customHeight="1">
      <c r="A18" s="7" t="s">
        <v>144</v>
      </c>
      <c r="B18" s="8" t="s">
        <v>145</v>
      </c>
      <c r="C18" s="8" t="s">
        <v>146</v>
      </c>
      <c r="D18" s="7" t="s">
        <v>125</v>
      </c>
      <c r="E18" s="7" t="s">
        <v>48</v>
      </c>
      <c r="F18" s="7" t="s">
        <v>110</v>
      </c>
      <c r="G18" s="8" t="s">
        <v>141</v>
      </c>
      <c r="H18" s="7">
        <v>1.0</v>
      </c>
      <c r="I18" s="8" t="s">
        <v>147</v>
      </c>
      <c r="J18" s="8" t="s">
        <v>148</v>
      </c>
      <c r="K18" s="8" t="s">
        <v>149</v>
      </c>
      <c r="L18" s="8"/>
      <c r="M18" s="7" t="s">
        <v>31</v>
      </c>
      <c r="N18" s="7" t="s">
        <v>32</v>
      </c>
      <c r="O18" s="7" t="s">
        <v>33</v>
      </c>
      <c r="P18" s="7" t="s">
        <v>34</v>
      </c>
      <c r="Q18" s="7" t="s">
        <v>35</v>
      </c>
      <c r="R18" s="7" t="s">
        <v>130</v>
      </c>
      <c r="S18" s="7"/>
      <c r="T18" s="8"/>
    </row>
    <row r="19" ht="48.0" customHeight="1">
      <c r="A19" s="5" t="s">
        <v>150</v>
      </c>
      <c r="B19" s="6" t="s">
        <v>151</v>
      </c>
      <c r="C19" s="6" t="s">
        <v>152</v>
      </c>
      <c r="D19" s="5" t="s">
        <v>125</v>
      </c>
      <c r="E19" s="5" t="s">
        <v>25</v>
      </c>
      <c r="F19" s="5" t="s">
        <v>40</v>
      </c>
      <c r="G19" s="6" t="s">
        <v>141</v>
      </c>
      <c r="H19" s="5">
        <v>1.0</v>
      </c>
      <c r="I19" s="6" t="s">
        <v>153</v>
      </c>
      <c r="J19" s="6" t="s">
        <v>154</v>
      </c>
      <c r="K19" s="6" t="s">
        <v>155</v>
      </c>
      <c r="L19" s="6"/>
      <c r="M19" s="5" t="s">
        <v>31</v>
      </c>
      <c r="N19" s="5" t="s">
        <v>32</v>
      </c>
      <c r="O19" s="5" t="s">
        <v>33</v>
      </c>
      <c r="P19" s="5" t="s">
        <v>34</v>
      </c>
      <c r="Q19" s="5" t="s">
        <v>35</v>
      </c>
      <c r="R19" s="5" t="s">
        <v>130</v>
      </c>
      <c r="S19" s="5"/>
      <c r="T19" s="6"/>
    </row>
    <row r="20" ht="48.0" customHeight="1">
      <c r="A20" s="7" t="s">
        <v>156</v>
      </c>
      <c r="B20" s="8" t="s">
        <v>157</v>
      </c>
      <c r="C20" s="8" t="s">
        <v>158</v>
      </c>
      <c r="D20" s="7" t="s">
        <v>125</v>
      </c>
      <c r="E20" s="7" t="s">
        <v>25</v>
      </c>
      <c r="F20" s="7" t="s">
        <v>40</v>
      </c>
      <c r="G20" s="8" t="s">
        <v>159</v>
      </c>
      <c r="H20" s="7">
        <v>1.0</v>
      </c>
      <c r="I20" s="8" t="s">
        <v>160</v>
      </c>
      <c r="J20" s="8" t="s">
        <v>161</v>
      </c>
      <c r="K20" s="8" t="s">
        <v>162</v>
      </c>
      <c r="L20" s="8"/>
      <c r="M20" s="7" t="s">
        <v>31</v>
      </c>
      <c r="N20" s="7" t="s">
        <v>32</v>
      </c>
      <c r="O20" s="7" t="s">
        <v>33</v>
      </c>
      <c r="P20" s="7" t="s">
        <v>34</v>
      </c>
      <c r="Q20" s="7" t="s">
        <v>35</v>
      </c>
      <c r="R20" s="7" t="s">
        <v>163</v>
      </c>
      <c r="S20" s="7"/>
      <c r="T20" s="8"/>
    </row>
    <row r="21" ht="48.0" customHeight="1">
      <c r="A21" s="5" t="s">
        <v>164</v>
      </c>
      <c r="B21" s="6" t="s">
        <v>165</v>
      </c>
      <c r="C21" s="6" t="s">
        <v>166</v>
      </c>
      <c r="D21" s="5" t="s">
        <v>125</v>
      </c>
      <c r="E21" s="5" t="s">
        <v>48</v>
      </c>
      <c r="F21" s="5" t="s">
        <v>110</v>
      </c>
      <c r="G21" s="6" t="s">
        <v>141</v>
      </c>
      <c r="H21" s="5">
        <v>1.0</v>
      </c>
      <c r="I21" s="6" t="s">
        <v>167</v>
      </c>
      <c r="J21" s="6" t="s">
        <v>136</v>
      </c>
      <c r="K21" s="6" t="s">
        <v>168</v>
      </c>
      <c r="L21" s="6"/>
      <c r="M21" s="5" t="s">
        <v>31</v>
      </c>
      <c r="N21" s="5" t="s">
        <v>169</v>
      </c>
      <c r="O21" s="5" t="s">
        <v>33</v>
      </c>
      <c r="P21" s="5" t="s">
        <v>34</v>
      </c>
      <c r="Q21" s="5" t="s">
        <v>35</v>
      </c>
      <c r="R21" s="5" t="s">
        <v>163</v>
      </c>
      <c r="S21" s="5"/>
      <c r="T21" s="6"/>
    </row>
    <row r="22" ht="48.0" customHeight="1">
      <c r="A22" s="7" t="s">
        <v>170</v>
      </c>
      <c r="B22" s="8" t="s">
        <v>171</v>
      </c>
      <c r="C22" s="8" t="s">
        <v>172</v>
      </c>
      <c r="D22" s="7" t="s">
        <v>125</v>
      </c>
      <c r="E22" s="7" t="s">
        <v>25</v>
      </c>
      <c r="F22" s="7" t="s">
        <v>26</v>
      </c>
      <c r="G22" s="8" t="s">
        <v>173</v>
      </c>
      <c r="H22" s="7">
        <v>1.0</v>
      </c>
      <c r="I22" s="8" t="s">
        <v>174</v>
      </c>
      <c r="J22" s="8" t="s">
        <v>175</v>
      </c>
      <c r="K22" s="8" t="s">
        <v>176</v>
      </c>
      <c r="L22" s="8"/>
      <c r="M22" s="7" t="s">
        <v>31</v>
      </c>
      <c r="N22" s="7" t="s">
        <v>32</v>
      </c>
      <c r="O22" s="7" t="s">
        <v>33</v>
      </c>
      <c r="P22" s="7" t="s">
        <v>34</v>
      </c>
      <c r="Q22" s="7" t="s">
        <v>35</v>
      </c>
      <c r="R22" s="7" t="s">
        <v>163</v>
      </c>
      <c r="S22" s="7"/>
      <c r="T22" s="8"/>
    </row>
    <row r="23" ht="48.0" customHeight="1">
      <c r="A23" s="5" t="s">
        <v>177</v>
      </c>
      <c r="B23" s="6" t="s">
        <v>178</v>
      </c>
      <c r="C23" s="6" t="s">
        <v>179</v>
      </c>
      <c r="D23" s="5" t="s">
        <v>180</v>
      </c>
      <c r="E23" s="5" t="s">
        <v>25</v>
      </c>
      <c r="F23" s="5" t="s">
        <v>26</v>
      </c>
      <c r="G23" s="6" t="s">
        <v>181</v>
      </c>
      <c r="H23" s="5">
        <v>1.0</v>
      </c>
      <c r="I23" s="6" t="s">
        <v>182</v>
      </c>
      <c r="J23" s="6" t="s">
        <v>183</v>
      </c>
      <c r="K23" s="6" t="s">
        <v>184</v>
      </c>
      <c r="L23" s="6"/>
      <c r="M23" s="5" t="s">
        <v>31</v>
      </c>
      <c r="N23" s="5" t="s">
        <v>32</v>
      </c>
      <c r="O23" s="5" t="s">
        <v>33</v>
      </c>
      <c r="P23" s="5" t="s">
        <v>34</v>
      </c>
      <c r="Q23" s="5" t="s">
        <v>35</v>
      </c>
      <c r="R23" s="5" t="s">
        <v>163</v>
      </c>
      <c r="S23" s="5"/>
      <c r="T23" s="6"/>
    </row>
    <row r="24" ht="48.0" customHeight="1">
      <c r="A24" s="7" t="s">
        <v>185</v>
      </c>
      <c r="B24" s="8" t="s">
        <v>186</v>
      </c>
      <c r="C24" s="8" t="s">
        <v>187</v>
      </c>
      <c r="D24" s="7" t="s">
        <v>180</v>
      </c>
      <c r="E24" s="7" t="s">
        <v>25</v>
      </c>
      <c r="F24" s="7" t="s">
        <v>26</v>
      </c>
      <c r="G24" s="8" t="s">
        <v>188</v>
      </c>
      <c r="H24" s="7">
        <v>1.0</v>
      </c>
      <c r="I24" s="8" t="s">
        <v>189</v>
      </c>
      <c r="J24" s="8" t="s">
        <v>190</v>
      </c>
      <c r="K24" s="8" t="s">
        <v>191</v>
      </c>
      <c r="L24" s="8"/>
      <c r="M24" s="7" t="s">
        <v>31</v>
      </c>
      <c r="N24" s="7" t="s">
        <v>32</v>
      </c>
      <c r="O24" s="7" t="s">
        <v>33</v>
      </c>
      <c r="P24" s="7" t="s">
        <v>34</v>
      </c>
      <c r="Q24" s="7" t="s">
        <v>35</v>
      </c>
      <c r="R24" s="7" t="s">
        <v>163</v>
      </c>
      <c r="S24" s="7"/>
      <c r="T24" s="8"/>
    </row>
    <row r="25" ht="48.0" customHeight="1">
      <c r="A25" s="5" t="s">
        <v>192</v>
      </c>
      <c r="B25" s="6" t="s">
        <v>193</v>
      </c>
      <c r="C25" s="6" t="s">
        <v>194</v>
      </c>
      <c r="D25" s="5" t="s">
        <v>180</v>
      </c>
      <c r="E25" s="5" t="s">
        <v>25</v>
      </c>
      <c r="F25" s="5" t="s">
        <v>40</v>
      </c>
      <c r="G25" s="6" t="s">
        <v>195</v>
      </c>
      <c r="H25" s="5">
        <v>1.0</v>
      </c>
      <c r="I25" s="6" t="s">
        <v>196</v>
      </c>
      <c r="J25" s="6" t="s">
        <v>197</v>
      </c>
      <c r="K25" s="6" t="s">
        <v>198</v>
      </c>
      <c r="L25" s="6"/>
      <c r="M25" s="5" t="s">
        <v>95</v>
      </c>
      <c r="N25" s="5" t="s">
        <v>32</v>
      </c>
      <c r="O25" s="5" t="s">
        <v>33</v>
      </c>
      <c r="P25" s="5" t="s">
        <v>34</v>
      </c>
      <c r="Q25" s="5" t="s">
        <v>35</v>
      </c>
      <c r="R25" s="5" t="s">
        <v>199</v>
      </c>
      <c r="S25" s="5" t="s">
        <v>200</v>
      </c>
      <c r="T25" s="6" t="s">
        <v>201</v>
      </c>
    </row>
    <row r="26" ht="48.0" customHeight="1">
      <c r="A26" s="7" t="s">
        <v>202</v>
      </c>
      <c r="B26" s="8" t="s">
        <v>203</v>
      </c>
      <c r="C26" s="8" t="s">
        <v>204</v>
      </c>
      <c r="D26" s="7" t="s">
        <v>180</v>
      </c>
      <c r="E26" s="7" t="s">
        <v>25</v>
      </c>
      <c r="F26" s="7" t="s">
        <v>40</v>
      </c>
      <c r="G26" s="8" t="s">
        <v>181</v>
      </c>
      <c r="H26" s="7">
        <v>1.0</v>
      </c>
      <c r="I26" s="8" t="s">
        <v>205</v>
      </c>
      <c r="J26" s="8" t="s">
        <v>206</v>
      </c>
      <c r="K26" s="8" t="s">
        <v>207</v>
      </c>
      <c r="L26" s="8"/>
      <c r="M26" s="7" t="s">
        <v>31</v>
      </c>
      <c r="N26" s="7" t="s">
        <v>32</v>
      </c>
      <c r="O26" s="7" t="s">
        <v>33</v>
      </c>
      <c r="P26" s="7" t="s">
        <v>34</v>
      </c>
      <c r="Q26" s="7" t="s">
        <v>35</v>
      </c>
      <c r="R26" s="7" t="s">
        <v>199</v>
      </c>
      <c r="S26" s="7"/>
      <c r="T26" s="8"/>
    </row>
    <row r="27" ht="48.0" customHeight="1">
      <c r="A27" s="5" t="s">
        <v>208</v>
      </c>
      <c r="B27" s="6" t="s">
        <v>209</v>
      </c>
      <c r="C27" s="6" t="s">
        <v>210</v>
      </c>
      <c r="D27" s="5" t="s">
        <v>180</v>
      </c>
      <c r="E27" s="5" t="s">
        <v>48</v>
      </c>
      <c r="F27" s="5" t="s">
        <v>110</v>
      </c>
      <c r="G27" s="6" t="s">
        <v>211</v>
      </c>
      <c r="H27" s="5">
        <v>1.0</v>
      </c>
      <c r="I27" s="6" t="s">
        <v>212</v>
      </c>
      <c r="J27" s="6" t="s">
        <v>213</v>
      </c>
      <c r="K27" s="6" t="s">
        <v>214</v>
      </c>
      <c r="L27" s="6"/>
      <c r="M27" s="5" t="s">
        <v>31</v>
      </c>
      <c r="N27" s="5" t="s">
        <v>32</v>
      </c>
      <c r="O27" s="5" t="s">
        <v>33</v>
      </c>
      <c r="P27" s="5" t="s">
        <v>34</v>
      </c>
      <c r="Q27" s="5" t="s">
        <v>35</v>
      </c>
      <c r="R27" s="5" t="s">
        <v>199</v>
      </c>
      <c r="S27" s="5"/>
      <c r="T27" s="6"/>
    </row>
    <row r="28" ht="48.0" customHeight="1">
      <c r="A28" s="7" t="s">
        <v>215</v>
      </c>
      <c r="B28" s="8" t="s">
        <v>216</v>
      </c>
      <c r="C28" s="8" t="s">
        <v>217</v>
      </c>
      <c r="D28" s="7" t="s">
        <v>180</v>
      </c>
      <c r="E28" s="7" t="s">
        <v>48</v>
      </c>
      <c r="F28" s="7" t="s">
        <v>110</v>
      </c>
      <c r="G28" s="8" t="s">
        <v>218</v>
      </c>
      <c r="H28" s="7">
        <v>1.0</v>
      </c>
      <c r="I28" s="8" t="s">
        <v>219</v>
      </c>
      <c r="J28" s="8" t="s">
        <v>220</v>
      </c>
      <c r="K28" s="8" t="s">
        <v>221</v>
      </c>
      <c r="L28" s="8"/>
      <c r="M28" s="7" t="s">
        <v>31</v>
      </c>
      <c r="N28" s="7" t="s">
        <v>32</v>
      </c>
      <c r="O28" s="7" t="s">
        <v>33</v>
      </c>
      <c r="P28" s="7" t="s">
        <v>34</v>
      </c>
      <c r="Q28" s="7" t="s">
        <v>35</v>
      </c>
      <c r="R28" s="7" t="s">
        <v>199</v>
      </c>
      <c r="S28" s="7"/>
      <c r="T28" s="8"/>
    </row>
    <row r="29" ht="48.0" customHeight="1">
      <c r="A29" s="5" t="s">
        <v>222</v>
      </c>
      <c r="B29" s="6" t="s">
        <v>223</v>
      </c>
      <c r="C29" s="6" t="s">
        <v>224</v>
      </c>
      <c r="D29" s="5" t="s">
        <v>180</v>
      </c>
      <c r="E29" s="5" t="s">
        <v>48</v>
      </c>
      <c r="F29" s="5" t="s">
        <v>110</v>
      </c>
      <c r="G29" s="6" t="s">
        <v>225</v>
      </c>
      <c r="H29" s="5">
        <v>1.0</v>
      </c>
      <c r="I29" s="6" t="s">
        <v>226</v>
      </c>
      <c r="J29" s="6" t="s">
        <v>227</v>
      </c>
      <c r="K29" s="6" t="s">
        <v>228</v>
      </c>
      <c r="L29" s="6"/>
      <c r="M29" s="5" t="s">
        <v>31</v>
      </c>
      <c r="N29" s="5" t="s">
        <v>32</v>
      </c>
      <c r="O29" s="5" t="s">
        <v>33</v>
      </c>
      <c r="P29" s="5" t="s">
        <v>34</v>
      </c>
      <c r="Q29" s="5" t="s">
        <v>35</v>
      </c>
      <c r="R29" s="5" t="s">
        <v>199</v>
      </c>
      <c r="S29" s="5"/>
      <c r="T29" s="6"/>
    </row>
    <row r="30" ht="48.0" customHeight="1">
      <c r="A30" s="7" t="s">
        <v>229</v>
      </c>
      <c r="B30" s="8" t="s">
        <v>230</v>
      </c>
      <c r="C30" s="8" t="s">
        <v>231</v>
      </c>
      <c r="D30" s="7" t="s">
        <v>180</v>
      </c>
      <c r="E30" s="7" t="s">
        <v>25</v>
      </c>
      <c r="F30" s="7" t="s">
        <v>40</v>
      </c>
      <c r="G30" s="8" t="s">
        <v>225</v>
      </c>
      <c r="H30" s="7">
        <v>1.0</v>
      </c>
      <c r="I30" s="8" t="s">
        <v>232</v>
      </c>
      <c r="J30" s="8" t="s">
        <v>136</v>
      </c>
      <c r="K30" s="8" t="s">
        <v>233</v>
      </c>
      <c r="L30" s="8"/>
      <c r="M30" s="7" t="s">
        <v>31</v>
      </c>
      <c r="N30" s="7" t="s">
        <v>32</v>
      </c>
      <c r="O30" s="7" t="s">
        <v>33</v>
      </c>
      <c r="P30" s="7" t="s">
        <v>34</v>
      </c>
      <c r="Q30" s="7" t="s">
        <v>35</v>
      </c>
      <c r="R30" s="7" t="s">
        <v>199</v>
      </c>
      <c r="S30" s="7"/>
      <c r="T30" s="8"/>
    </row>
    <row r="31" ht="48.0" customHeight="1">
      <c r="A31" s="5" t="s">
        <v>234</v>
      </c>
      <c r="B31" s="6" t="s">
        <v>235</v>
      </c>
      <c r="C31" s="6" t="s">
        <v>236</v>
      </c>
      <c r="D31" s="5" t="s">
        <v>237</v>
      </c>
      <c r="E31" s="5" t="s">
        <v>25</v>
      </c>
      <c r="F31" s="5" t="s">
        <v>40</v>
      </c>
      <c r="G31" s="6" t="s">
        <v>181</v>
      </c>
      <c r="H31" s="5">
        <v>1.0</v>
      </c>
      <c r="I31" s="6" t="s">
        <v>238</v>
      </c>
      <c r="J31" s="6" t="s">
        <v>239</v>
      </c>
      <c r="K31" s="6" t="s">
        <v>240</v>
      </c>
      <c r="L31" s="6"/>
      <c r="M31" s="5" t="s">
        <v>31</v>
      </c>
      <c r="N31" s="5" t="s">
        <v>32</v>
      </c>
      <c r="O31" s="5" t="s">
        <v>33</v>
      </c>
      <c r="P31" s="5" t="s">
        <v>34</v>
      </c>
      <c r="Q31" s="5" t="s">
        <v>35</v>
      </c>
      <c r="R31" s="5" t="s">
        <v>199</v>
      </c>
      <c r="S31" s="5"/>
      <c r="T31" s="6"/>
    </row>
    <row r="32" ht="48.0" customHeight="1">
      <c r="A32" s="7" t="s">
        <v>241</v>
      </c>
      <c r="B32" s="8" t="s">
        <v>242</v>
      </c>
      <c r="C32" s="8" t="s">
        <v>243</v>
      </c>
      <c r="D32" s="7" t="s">
        <v>237</v>
      </c>
      <c r="E32" s="7" t="s">
        <v>48</v>
      </c>
      <c r="F32" s="7" t="s">
        <v>110</v>
      </c>
      <c r="G32" s="8" t="s">
        <v>181</v>
      </c>
      <c r="H32" s="7">
        <v>1.0</v>
      </c>
      <c r="I32" s="8" t="s">
        <v>244</v>
      </c>
      <c r="J32" s="8" t="s">
        <v>245</v>
      </c>
      <c r="K32" s="8" t="s">
        <v>246</v>
      </c>
      <c r="L32" s="8"/>
      <c r="M32" s="7" t="s">
        <v>31</v>
      </c>
      <c r="N32" s="7" t="s">
        <v>32</v>
      </c>
      <c r="O32" s="7" t="s">
        <v>33</v>
      </c>
      <c r="P32" s="7" t="s">
        <v>34</v>
      </c>
      <c r="Q32" s="7" t="s">
        <v>35</v>
      </c>
      <c r="R32" s="7" t="s">
        <v>199</v>
      </c>
      <c r="S32" s="7"/>
      <c r="T32" s="8"/>
    </row>
    <row r="33" ht="48.0" customHeight="1">
      <c r="A33" s="5" t="s">
        <v>247</v>
      </c>
      <c r="B33" s="6" t="s">
        <v>248</v>
      </c>
      <c r="C33" s="6" t="s">
        <v>249</v>
      </c>
      <c r="D33" s="5" t="s">
        <v>237</v>
      </c>
      <c r="E33" s="5" t="s">
        <v>48</v>
      </c>
      <c r="F33" s="5" t="s">
        <v>110</v>
      </c>
      <c r="G33" s="6" t="s">
        <v>181</v>
      </c>
      <c r="H33" s="5">
        <v>1.0</v>
      </c>
      <c r="I33" s="6" t="s">
        <v>250</v>
      </c>
      <c r="J33" s="6" t="s">
        <v>251</v>
      </c>
      <c r="K33" s="6" t="s">
        <v>252</v>
      </c>
      <c r="L33" s="6"/>
      <c r="M33" s="5" t="s">
        <v>31</v>
      </c>
      <c r="N33" s="5" t="s">
        <v>32</v>
      </c>
      <c r="O33" s="5" t="s">
        <v>33</v>
      </c>
      <c r="P33" s="5" t="s">
        <v>34</v>
      </c>
      <c r="Q33" s="5" t="s">
        <v>35</v>
      </c>
      <c r="R33" s="5" t="s">
        <v>199</v>
      </c>
      <c r="S33" s="5"/>
      <c r="T33" s="6"/>
    </row>
    <row r="34" ht="48.0" customHeight="1">
      <c r="A34" s="7" t="s">
        <v>253</v>
      </c>
      <c r="B34" s="8" t="s">
        <v>254</v>
      </c>
      <c r="C34" s="8" t="s">
        <v>255</v>
      </c>
      <c r="D34" s="7" t="s">
        <v>237</v>
      </c>
      <c r="E34" s="7" t="s">
        <v>25</v>
      </c>
      <c r="F34" s="7" t="s">
        <v>40</v>
      </c>
      <c r="G34" s="8" t="s">
        <v>256</v>
      </c>
      <c r="H34" s="7">
        <v>1.0</v>
      </c>
      <c r="I34" s="8" t="s">
        <v>257</v>
      </c>
      <c r="J34" s="8" t="s">
        <v>258</v>
      </c>
      <c r="K34" s="8" t="s">
        <v>259</v>
      </c>
      <c r="L34" s="8"/>
      <c r="M34" s="7" t="s">
        <v>31</v>
      </c>
      <c r="N34" s="7" t="s">
        <v>32</v>
      </c>
      <c r="O34" s="7" t="s">
        <v>33</v>
      </c>
      <c r="P34" s="7" t="s">
        <v>34</v>
      </c>
      <c r="Q34" s="7" t="s">
        <v>35</v>
      </c>
      <c r="R34" s="7" t="s">
        <v>199</v>
      </c>
      <c r="S34" s="7"/>
      <c r="T34" s="8"/>
    </row>
    <row r="35" ht="48.0" customHeight="1">
      <c r="A35" s="5" t="s">
        <v>260</v>
      </c>
      <c r="B35" s="6" t="s">
        <v>261</v>
      </c>
      <c r="C35" s="6" t="s">
        <v>262</v>
      </c>
      <c r="D35" s="5" t="s">
        <v>263</v>
      </c>
      <c r="E35" s="5" t="s">
        <v>25</v>
      </c>
      <c r="F35" s="5" t="s">
        <v>26</v>
      </c>
      <c r="G35" s="6" t="s">
        <v>264</v>
      </c>
      <c r="H35" s="5">
        <v>1.0</v>
      </c>
      <c r="I35" s="6" t="s">
        <v>265</v>
      </c>
      <c r="J35" s="6" t="s">
        <v>266</v>
      </c>
      <c r="K35" s="6" t="s">
        <v>267</v>
      </c>
      <c r="L35" s="6"/>
      <c r="M35" s="5" t="s">
        <v>31</v>
      </c>
      <c r="N35" s="5" t="s">
        <v>32</v>
      </c>
      <c r="O35" s="5" t="s">
        <v>33</v>
      </c>
      <c r="P35" s="5" t="s">
        <v>34</v>
      </c>
      <c r="Q35" s="5" t="s">
        <v>35</v>
      </c>
      <c r="R35" s="5" t="s">
        <v>199</v>
      </c>
      <c r="S35" s="5"/>
      <c r="T35" s="6"/>
    </row>
    <row r="36" ht="48.0" customHeight="1">
      <c r="A36" s="7" t="s">
        <v>268</v>
      </c>
      <c r="B36" s="8" t="s">
        <v>269</v>
      </c>
      <c r="C36" s="8" t="s">
        <v>270</v>
      </c>
      <c r="D36" s="7" t="s">
        <v>263</v>
      </c>
      <c r="E36" s="7" t="s">
        <v>25</v>
      </c>
      <c r="F36" s="7" t="s">
        <v>26</v>
      </c>
      <c r="G36" s="8" t="s">
        <v>271</v>
      </c>
      <c r="H36" s="7">
        <v>1.0</v>
      </c>
      <c r="I36" s="8" t="s">
        <v>272</v>
      </c>
      <c r="J36" s="8" t="s">
        <v>273</v>
      </c>
      <c r="K36" s="8" t="s">
        <v>274</v>
      </c>
      <c r="L36" s="8"/>
      <c r="M36" s="7" t="s">
        <v>31</v>
      </c>
      <c r="N36" s="7" t="s">
        <v>32</v>
      </c>
      <c r="O36" s="7" t="s">
        <v>33</v>
      </c>
      <c r="P36" s="7" t="s">
        <v>34</v>
      </c>
      <c r="Q36" s="7" t="s">
        <v>35</v>
      </c>
      <c r="R36" s="7" t="s">
        <v>199</v>
      </c>
      <c r="S36" s="7"/>
      <c r="T36" s="8"/>
    </row>
    <row r="37" ht="48.0" customHeight="1">
      <c r="A37" s="5" t="s">
        <v>275</v>
      </c>
      <c r="B37" s="6" t="s">
        <v>276</v>
      </c>
      <c r="C37" s="6" t="s">
        <v>277</v>
      </c>
      <c r="D37" s="5" t="s">
        <v>263</v>
      </c>
      <c r="E37" s="5" t="s">
        <v>48</v>
      </c>
      <c r="F37" s="5" t="s">
        <v>110</v>
      </c>
      <c r="G37" s="6" t="s">
        <v>271</v>
      </c>
      <c r="H37" s="5">
        <v>1.0</v>
      </c>
      <c r="I37" s="6" t="s">
        <v>278</v>
      </c>
      <c r="J37" s="6" t="s">
        <v>273</v>
      </c>
      <c r="K37" s="6" t="s">
        <v>279</v>
      </c>
      <c r="L37" s="6"/>
      <c r="M37" s="5" t="s">
        <v>31</v>
      </c>
      <c r="N37" s="5" t="s">
        <v>32</v>
      </c>
      <c r="O37" s="5" t="s">
        <v>33</v>
      </c>
      <c r="P37" s="5" t="s">
        <v>34</v>
      </c>
      <c r="Q37" s="5" t="s">
        <v>35</v>
      </c>
      <c r="R37" s="5" t="s">
        <v>199</v>
      </c>
      <c r="S37" s="5"/>
      <c r="T37" s="6"/>
    </row>
    <row r="38" ht="48.0" customHeight="1">
      <c r="A38" s="7" t="s">
        <v>280</v>
      </c>
      <c r="B38" s="8" t="s">
        <v>281</v>
      </c>
      <c r="C38" s="8" t="s">
        <v>282</v>
      </c>
      <c r="D38" s="7" t="s">
        <v>263</v>
      </c>
      <c r="E38" s="7" t="s">
        <v>48</v>
      </c>
      <c r="F38" s="7" t="s">
        <v>110</v>
      </c>
      <c r="G38" s="8" t="s">
        <v>283</v>
      </c>
      <c r="H38" s="7">
        <v>1.0</v>
      </c>
      <c r="I38" s="8" t="s">
        <v>284</v>
      </c>
      <c r="J38" s="8" t="s">
        <v>136</v>
      </c>
      <c r="K38" s="8" t="s">
        <v>285</v>
      </c>
      <c r="L38" s="8"/>
      <c r="M38" s="7" t="s">
        <v>31</v>
      </c>
      <c r="N38" s="7" t="s">
        <v>32</v>
      </c>
      <c r="O38" s="7" t="s">
        <v>33</v>
      </c>
      <c r="P38" s="7" t="s">
        <v>34</v>
      </c>
      <c r="Q38" s="7" t="s">
        <v>35</v>
      </c>
      <c r="R38" s="7" t="s">
        <v>199</v>
      </c>
      <c r="S38" s="7"/>
      <c r="T38" s="8"/>
    </row>
    <row r="39" ht="48.0" customHeight="1">
      <c r="A39" s="5" t="s">
        <v>286</v>
      </c>
      <c r="B39" s="6" t="s">
        <v>287</v>
      </c>
      <c r="C39" s="6" t="s">
        <v>288</v>
      </c>
      <c r="D39" s="5" t="s">
        <v>263</v>
      </c>
      <c r="E39" s="5" t="s">
        <v>48</v>
      </c>
      <c r="F39" s="5" t="s">
        <v>110</v>
      </c>
      <c r="G39" s="6" t="s">
        <v>289</v>
      </c>
      <c r="H39" s="5">
        <v>1.0</v>
      </c>
      <c r="I39" s="6" t="s">
        <v>290</v>
      </c>
      <c r="J39" s="6" t="s">
        <v>136</v>
      </c>
      <c r="K39" s="6" t="s">
        <v>291</v>
      </c>
      <c r="L39" s="6"/>
      <c r="M39" s="5" t="s">
        <v>31</v>
      </c>
      <c r="N39" s="5" t="s">
        <v>169</v>
      </c>
      <c r="O39" s="5" t="s">
        <v>33</v>
      </c>
      <c r="P39" s="5" t="s">
        <v>34</v>
      </c>
      <c r="Q39" s="5" t="s">
        <v>35</v>
      </c>
      <c r="R39" s="5" t="s">
        <v>199</v>
      </c>
      <c r="S39" s="5"/>
      <c r="T39" s="6"/>
    </row>
    <row r="40" ht="48.0" customHeight="1">
      <c r="A40" s="7" t="s">
        <v>292</v>
      </c>
      <c r="B40" s="8" t="s">
        <v>293</v>
      </c>
      <c r="C40" s="8" t="s">
        <v>294</v>
      </c>
      <c r="D40" s="7" t="s">
        <v>295</v>
      </c>
      <c r="E40" s="7" t="s">
        <v>25</v>
      </c>
      <c r="F40" s="7" t="s">
        <v>26</v>
      </c>
      <c r="G40" s="8" t="s">
        <v>296</v>
      </c>
      <c r="H40" s="7">
        <v>1.0</v>
      </c>
      <c r="I40" s="8" t="s">
        <v>297</v>
      </c>
      <c r="J40" s="8" t="s">
        <v>298</v>
      </c>
      <c r="K40" s="8" t="s">
        <v>299</v>
      </c>
      <c r="L40" s="8"/>
      <c r="M40" s="7" t="s">
        <v>31</v>
      </c>
      <c r="N40" s="7" t="s">
        <v>32</v>
      </c>
      <c r="O40" s="7" t="s">
        <v>33</v>
      </c>
      <c r="P40" s="7" t="s">
        <v>34</v>
      </c>
      <c r="Q40" s="7" t="s">
        <v>35</v>
      </c>
      <c r="R40" s="7" t="s">
        <v>199</v>
      </c>
      <c r="S40" s="7"/>
      <c r="T40" s="8"/>
    </row>
    <row r="41" ht="48.0" customHeight="1">
      <c r="A41" s="5" t="s">
        <v>300</v>
      </c>
      <c r="B41" s="6" t="s">
        <v>301</v>
      </c>
      <c r="C41" s="6" t="s">
        <v>302</v>
      </c>
      <c r="D41" s="5" t="s">
        <v>295</v>
      </c>
      <c r="E41" s="5" t="s">
        <v>25</v>
      </c>
      <c r="F41" s="5" t="s">
        <v>40</v>
      </c>
      <c r="G41" s="6" t="s">
        <v>303</v>
      </c>
      <c r="H41" s="5">
        <v>1.0</v>
      </c>
      <c r="I41" s="6" t="s">
        <v>304</v>
      </c>
      <c r="J41" s="6" t="s">
        <v>305</v>
      </c>
      <c r="K41" s="6" t="s">
        <v>306</v>
      </c>
      <c r="L41" s="6"/>
      <c r="M41" s="5" t="s">
        <v>31</v>
      </c>
      <c r="N41" s="5" t="s">
        <v>32</v>
      </c>
      <c r="O41" s="5" t="s">
        <v>33</v>
      </c>
      <c r="P41" s="5" t="s">
        <v>34</v>
      </c>
      <c r="Q41" s="5" t="s">
        <v>35</v>
      </c>
      <c r="R41" s="5" t="s">
        <v>199</v>
      </c>
      <c r="S41" s="5"/>
      <c r="T41" s="6"/>
    </row>
    <row r="42" ht="48.0" customHeight="1">
      <c r="A42" s="7" t="s">
        <v>307</v>
      </c>
      <c r="B42" s="8" t="s">
        <v>308</v>
      </c>
      <c r="C42" s="8" t="s">
        <v>309</v>
      </c>
      <c r="D42" s="7" t="s">
        <v>295</v>
      </c>
      <c r="E42" s="7" t="s">
        <v>25</v>
      </c>
      <c r="F42" s="7" t="s">
        <v>40</v>
      </c>
      <c r="G42" s="8" t="s">
        <v>310</v>
      </c>
      <c r="H42" s="7">
        <v>1.0</v>
      </c>
      <c r="I42" s="8" t="s">
        <v>311</v>
      </c>
      <c r="J42" s="8" t="s">
        <v>312</v>
      </c>
      <c r="K42" s="8" t="s">
        <v>313</v>
      </c>
      <c r="L42" s="8"/>
      <c r="M42" s="7" t="s">
        <v>31</v>
      </c>
      <c r="N42" s="7" t="s">
        <v>32</v>
      </c>
      <c r="O42" s="7" t="s">
        <v>33</v>
      </c>
      <c r="P42" s="7" t="s">
        <v>34</v>
      </c>
      <c r="Q42" s="7" t="s">
        <v>35</v>
      </c>
      <c r="R42" s="7" t="s">
        <v>199</v>
      </c>
      <c r="S42" s="7"/>
      <c r="T42" s="8"/>
    </row>
    <row r="43" ht="48.0" customHeight="1">
      <c r="A43" s="5" t="s">
        <v>314</v>
      </c>
      <c r="B43" s="6" t="s">
        <v>315</v>
      </c>
      <c r="C43" s="6" t="s">
        <v>316</v>
      </c>
      <c r="D43" s="5" t="s">
        <v>295</v>
      </c>
      <c r="E43" s="5" t="s">
        <v>48</v>
      </c>
      <c r="F43" s="5" t="s">
        <v>110</v>
      </c>
      <c r="G43" s="6" t="s">
        <v>317</v>
      </c>
      <c r="H43" s="5">
        <v>1.0</v>
      </c>
      <c r="I43" s="6" t="s">
        <v>318</v>
      </c>
      <c r="J43" s="6" t="s">
        <v>136</v>
      </c>
      <c r="K43" s="6" t="s">
        <v>319</v>
      </c>
      <c r="L43" s="6"/>
      <c r="M43" s="5" t="s">
        <v>31</v>
      </c>
      <c r="N43" s="5" t="s">
        <v>32</v>
      </c>
      <c r="O43" s="5" t="s">
        <v>33</v>
      </c>
      <c r="P43" s="5" t="s">
        <v>34</v>
      </c>
      <c r="Q43" s="5" t="s">
        <v>35</v>
      </c>
      <c r="R43" s="5" t="s">
        <v>199</v>
      </c>
      <c r="S43" s="5"/>
      <c r="T43" s="6"/>
    </row>
    <row r="44" ht="48.0" customHeight="1">
      <c r="A44" s="7" t="s">
        <v>320</v>
      </c>
      <c r="B44" s="8" t="s">
        <v>321</v>
      </c>
      <c r="C44" s="8" t="s">
        <v>322</v>
      </c>
      <c r="D44" s="7" t="s">
        <v>323</v>
      </c>
      <c r="E44" s="7" t="s">
        <v>25</v>
      </c>
      <c r="F44" s="7" t="s">
        <v>40</v>
      </c>
      <c r="G44" s="8" t="s">
        <v>324</v>
      </c>
      <c r="H44" s="7">
        <v>1.0</v>
      </c>
      <c r="I44" s="8" t="s">
        <v>325</v>
      </c>
      <c r="J44" s="8" t="s">
        <v>326</v>
      </c>
      <c r="K44" s="8" t="s">
        <v>327</v>
      </c>
      <c r="L44" s="8"/>
      <c r="M44" s="7" t="s">
        <v>31</v>
      </c>
      <c r="N44" s="7" t="s">
        <v>32</v>
      </c>
      <c r="O44" s="7" t="s">
        <v>33</v>
      </c>
      <c r="P44" s="7" t="s">
        <v>34</v>
      </c>
      <c r="Q44" s="7" t="s">
        <v>35</v>
      </c>
      <c r="R44" s="7" t="s">
        <v>199</v>
      </c>
      <c r="S44" s="7"/>
      <c r="T44" s="8"/>
    </row>
    <row r="45" ht="48.0" customHeight="1">
      <c r="A45" s="5" t="s">
        <v>328</v>
      </c>
      <c r="B45" s="6" t="s">
        <v>329</v>
      </c>
      <c r="C45" s="6" t="s">
        <v>330</v>
      </c>
      <c r="D45" s="5" t="s">
        <v>323</v>
      </c>
      <c r="E45" s="5" t="s">
        <v>25</v>
      </c>
      <c r="F45" s="5" t="s">
        <v>40</v>
      </c>
      <c r="G45" s="6" t="s">
        <v>331</v>
      </c>
      <c r="H45" s="5">
        <v>1.0</v>
      </c>
      <c r="I45" s="6" t="s">
        <v>332</v>
      </c>
      <c r="J45" s="6" t="s">
        <v>333</v>
      </c>
      <c r="K45" s="6" t="s">
        <v>334</v>
      </c>
      <c r="L45" s="6"/>
      <c r="M45" s="5" t="s">
        <v>31</v>
      </c>
      <c r="N45" s="5" t="s">
        <v>32</v>
      </c>
      <c r="O45" s="5" t="s">
        <v>33</v>
      </c>
      <c r="P45" s="5" t="s">
        <v>34</v>
      </c>
      <c r="Q45" s="5" t="s">
        <v>35</v>
      </c>
      <c r="R45" s="5" t="s">
        <v>199</v>
      </c>
      <c r="S45" s="5"/>
      <c r="T45" s="6"/>
    </row>
    <row r="46" ht="48.0" customHeight="1">
      <c r="A46" s="7" t="s">
        <v>335</v>
      </c>
      <c r="B46" s="8" t="s">
        <v>336</v>
      </c>
      <c r="C46" s="8" t="s">
        <v>337</v>
      </c>
      <c r="D46" s="7" t="s">
        <v>323</v>
      </c>
      <c r="E46" s="7" t="s">
        <v>48</v>
      </c>
      <c r="F46" s="7" t="s">
        <v>110</v>
      </c>
      <c r="G46" s="8" t="s">
        <v>338</v>
      </c>
      <c r="H46" s="7">
        <v>1.0</v>
      </c>
      <c r="I46" s="8" t="s">
        <v>339</v>
      </c>
      <c r="J46" s="8" t="s">
        <v>136</v>
      </c>
      <c r="K46" s="8" t="s">
        <v>340</v>
      </c>
      <c r="L46" s="8"/>
      <c r="M46" s="7" t="s">
        <v>95</v>
      </c>
      <c r="N46" s="7" t="s">
        <v>169</v>
      </c>
      <c r="O46" s="7" t="s">
        <v>33</v>
      </c>
      <c r="P46" s="7" t="s">
        <v>34</v>
      </c>
      <c r="Q46" s="7" t="s">
        <v>35</v>
      </c>
      <c r="R46" s="7" t="s">
        <v>199</v>
      </c>
      <c r="S46" s="7" t="s">
        <v>341</v>
      </c>
      <c r="T46" s="8" t="s">
        <v>342</v>
      </c>
    </row>
    <row r="47" ht="48.0" customHeight="1">
      <c r="A47" s="5" t="s">
        <v>343</v>
      </c>
      <c r="B47" s="6" t="s">
        <v>344</v>
      </c>
      <c r="C47" s="6" t="s">
        <v>345</v>
      </c>
      <c r="D47" s="5" t="s">
        <v>346</v>
      </c>
      <c r="E47" s="5" t="s">
        <v>25</v>
      </c>
      <c r="F47" s="5" t="s">
        <v>26</v>
      </c>
      <c r="G47" s="6" t="s">
        <v>347</v>
      </c>
      <c r="H47" s="5">
        <v>1.0</v>
      </c>
      <c r="I47" s="6" t="s">
        <v>348</v>
      </c>
      <c r="J47" s="6" t="s">
        <v>349</v>
      </c>
      <c r="K47" s="6" t="s">
        <v>350</v>
      </c>
      <c r="L47" s="6"/>
      <c r="M47" s="5" t="s">
        <v>31</v>
      </c>
      <c r="N47" s="5" t="s">
        <v>32</v>
      </c>
      <c r="O47" s="5" t="s">
        <v>33</v>
      </c>
      <c r="P47" s="5" t="s">
        <v>34</v>
      </c>
      <c r="Q47" s="5" t="s">
        <v>35</v>
      </c>
      <c r="R47" s="5" t="s">
        <v>199</v>
      </c>
      <c r="S47" s="5"/>
      <c r="T47" s="6"/>
    </row>
    <row r="48" ht="48.0" customHeight="1">
      <c r="A48" s="7" t="s">
        <v>351</v>
      </c>
      <c r="B48" s="8" t="s">
        <v>352</v>
      </c>
      <c r="C48" s="8" t="s">
        <v>353</v>
      </c>
      <c r="D48" s="7" t="s">
        <v>346</v>
      </c>
      <c r="E48" s="7" t="s">
        <v>25</v>
      </c>
      <c r="F48" s="7" t="s">
        <v>40</v>
      </c>
      <c r="G48" s="8" t="s">
        <v>181</v>
      </c>
      <c r="H48" s="7">
        <v>1.0</v>
      </c>
      <c r="I48" s="8" t="s">
        <v>354</v>
      </c>
      <c r="J48" s="8" t="s">
        <v>355</v>
      </c>
      <c r="K48" s="8" t="s">
        <v>356</v>
      </c>
      <c r="L48" s="8"/>
      <c r="M48" s="7" t="s">
        <v>31</v>
      </c>
      <c r="N48" s="7" t="s">
        <v>32</v>
      </c>
      <c r="O48" s="7" t="s">
        <v>33</v>
      </c>
      <c r="P48" s="7" t="s">
        <v>34</v>
      </c>
      <c r="Q48" s="7" t="s">
        <v>35</v>
      </c>
      <c r="R48" s="7" t="s">
        <v>199</v>
      </c>
      <c r="S48" s="7"/>
      <c r="T48" s="8"/>
    </row>
    <row r="49" ht="48.0" customHeight="1">
      <c r="A49" s="5" t="s">
        <v>357</v>
      </c>
      <c r="B49" s="6" t="s">
        <v>358</v>
      </c>
      <c r="C49" s="6" t="s">
        <v>359</v>
      </c>
      <c r="D49" s="5" t="s">
        <v>346</v>
      </c>
      <c r="E49" s="5" t="s">
        <v>48</v>
      </c>
      <c r="F49" s="5" t="s">
        <v>110</v>
      </c>
      <c r="G49" s="6" t="s">
        <v>181</v>
      </c>
      <c r="H49" s="5">
        <v>1.0</v>
      </c>
      <c r="I49" s="6" t="s">
        <v>360</v>
      </c>
      <c r="J49" s="6" t="s">
        <v>361</v>
      </c>
      <c r="K49" s="6" t="s">
        <v>362</v>
      </c>
      <c r="L49" s="6"/>
      <c r="M49" s="5" t="s">
        <v>31</v>
      </c>
      <c r="N49" s="5" t="s">
        <v>169</v>
      </c>
      <c r="O49" s="5" t="s">
        <v>33</v>
      </c>
      <c r="P49" s="5" t="s">
        <v>34</v>
      </c>
      <c r="Q49" s="5" t="s">
        <v>35</v>
      </c>
      <c r="R49" s="5" t="s">
        <v>199</v>
      </c>
      <c r="S49" s="5"/>
      <c r="T49" s="6"/>
    </row>
    <row r="50" ht="48.0" customHeight="1">
      <c r="A50" s="7" t="s">
        <v>363</v>
      </c>
      <c r="B50" s="8" t="s">
        <v>364</v>
      </c>
      <c r="C50" s="8" t="s">
        <v>365</v>
      </c>
      <c r="D50" s="7" t="s">
        <v>366</v>
      </c>
      <c r="E50" s="7" t="s">
        <v>48</v>
      </c>
      <c r="F50" s="7" t="s">
        <v>40</v>
      </c>
      <c r="G50" s="8" t="s">
        <v>181</v>
      </c>
      <c r="H50" s="7">
        <v>1.0</v>
      </c>
      <c r="I50" s="8" t="s">
        <v>367</v>
      </c>
      <c r="J50" s="8" t="s">
        <v>368</v>
      </c>
      <c r="K50" s="8" t="s">
        <v>369</v>
      </c>
      <c r="L50" s="8"/>
      <c r="M50" s="7" t="s">
        <v>31</v>
      </c>
      <c r="N50" s="7" t="s">
        <v>32</v>
      </c>
      <c r="O50" s="7" t="s">
        <v>33</v>
      </c>
      <c r="P50" s="7" t="s">
        <v>34</v>
      </c>
      <c r="Q50" s="7" t="s">
        <v>35</v>
      </c>
      <c r="R50" s="7" t="s">
        <v>199</v>
      </c>
      <c r="S50" s="7"/>
      <c r="T50" s="8"/>
    </row>
    <row r="51" ht="48.0" customHeight="1">
      <c r="A51" s="5" t="s">
        <v>370</v>
      </c>
      <c r="B51" s="6" t="s">
        <v>371</v>
      </c>
      <c r="C51" s="6" t="s">
        <v>372</v>
      </c>
      <c r="D51" s="5" t="s">
        <v>366</v>
      </c>
      <c r="E51" s="5" t="s">
        <v>48</v>
      </c>
      <c r="F51" s="5" t="s">
        <v>110</v>
      </c>
      <c r="G51" s="6" t="s">
        <v>373</v>
      </c>
      <c r="H51" s="5">
        <v>1.0</v>
      </c>
      <c r="I51" s="6" t="s">
        <v>374</v>
      </c>
      <c r="J51" s="6" t="s">
        <v>375</v>
      </c>
      <c r="K51" s="6" t="s">
        <v>376</v>
      </c>
      <c r="L51" s="6"/>
      <c r="M51" s="5" t="s">
        <v>31</v>
      </c>
      <c r="N51" s="5" t="s">
        <v>32</v>
      </c>
      <c r="O51" s="5" t="s">
        <v>33</v>
      </c>
      <c r="P51" s="5" t="s">
        <v>34</v>
      </c>
      <c r="Q51" s="5" t="s">
        <v>35</v>
      </c>
      <c r="R51" s="5" t="s">
        <v>199</v>
      </c>
      <c r="S51" s="5"/>
      <c r="T51" s="6"/>
    </row>
    <row r="52" ht="48.0" customHeight="1">
      <c r="A52" s="7" t="s">
        <v>377</v>
      </c>
      <c r="B52" s="8" t="s">
        <v>378</v>
      </c>
      <c r="C52" s="8" t="s">
        <v>379</v>
      </c>
      <c r="D52" s="7" t="s">
        <v>380</v>
      </c>
      <c r="E52" s="7" t="s">
        <v>48</v>
      </c>
      <c r="F52" s="7" t="s">
        <v>40</v>
      </c>
      <c r="G52" s="8" t="s">
        <v>381</v>
      </c>
      <c r="H52" s="7">
        <v>1.0</v>
      </c>
      <c r="I52" s="8" t="s">
        <v>382</v>
      </c>
      <c r="J52" s="8" t="s">
        <v>383</v>
      </c>
      <c r="K52" s="8" t="s">
        <v>384</v>
      </c>
      <c r="L52" s="8"/>
      <c r="M52" s="7" t="s">
        <v>31</v>
      </c>
      <c r="N52" s="7" t="s">
        <v>32</v>
      </c>
      <c r="O52" s="7" t="s">
        <v>33</v>
      </c>
      <c r="P52" s="7" t="s">
        <v>34</v>
      </c>
      <c r="Q52" s="7" t="s">
        <v>35</v>
      </c>
      <c r="R52" s="7" t="s">
        <v>199</v>
      </c>
      <c r="S52" s="7"/>
      <c r="T52" s="8"/>
    </row>
    <row r="53" ht="48.0" customHeight="1">
      <c r="A53" s="5" t="s">
        <v>385</v>
      </c>
      <c r="B53" s="6" t="s">
        <v>386</v>
      </c>
      <c r="C53" s="6" t="s">
        <v>387</v>
      </c>
      <c r="D53" s="5" t="s">
        <v>125</v>
      </c>
      <c r="E53" s="5" t="s">
        <v>25</v>
      </c>
      <c r="F53" s="5" t="s">
        <v>40</v>
      </c>
      <c r="G53" s="6" t="s">
        <v>388</v>
      </c>
      <c r="H53" s="5">
        <v>1.0</v>
      </c>
      <c r="I53" s="6" t="s">
        <v>389</v>
      </c>
      <c r="J53" s="6" t="s">
        <v>390</v>
      </c>
      <c r="K53" s="6" t="s">
        <v>391</v>
      </c>
      <c r="L53" s="6"/>
      <c r="M53" s="5" t="s">
        <v>31</v>
      </c>
      <c r="N53" s="5" t="s">
        <v>169</v>
      </c>
      <c r="O53" s="5" t="s">
        <v>392</v>
      </c>
      <c r="P53" s="5" t="s">
        <v>34</v>
      </c>
      <c r="Q53" s="5" t="s">
        <v>35</v>
      </c>
      <c r="R53" s="5" t="s">
        <v>199</v>
      </c>
      <c r="S53" s="5"/>
      <c r="T53" s="6"/>
    </row>
    <row r="54" ht="48.0" customHeight="1">
      <c r="A54" s="7" t="s">
        <v>393</v>
      </c>
      <c r="B54" s="8" t="s">
        <v>394</v>
      </c>
      <c r="C54" s="8" t="s">
        <v>395</v>
      </c>
      <c r="D54" s="7" t="s">
        <v>125</v>
      </c>
      <c r="E54" s="7" t="s">
        <v>25</v>
      </c>
      <c r="F54" s="7" t="s">
        <v>40</v>
      </c>
      <c r="G54" s="8" t="s">
        <v>396</v>
      </c>
      <c r="H54" s="7">
        <v>1.0</v>
      </c>
      <c r="I54" s="8" t="s">
        <v>397</v>
      </c>
      <c r="J54" s="8" t="s">
        <v>398</v>
      </c>
      <c r="K54" s="8" t="s">
        <v>399</v>
      </c>
      <c r="L54" s="8"/>
      <c r="M54" s="7" t="s">
        <v>400</v>
      </c>
      <c r="N54" s="7" t="s">
        <v>401</v>
      </c>
      <c r="O54" s="7" t="s">
        <v>33</v>
      </c>
      <c r="P54" s="7" t="s">
        <v>34</v>
      </c>
      <c r="Q54" s="7" t="s">
        <v>35</v>
      </c>
      <c r="R54" s="7" t="s">
        <v>199</v>
      </c>
      <c r="S54" s="7" t="s">
        <v>402</v>
      </c>
      <c r="T54" s="8" t="s">
        <v>403</v>
      </c>
    </row>
    <row r="55" ht="48.0" customHeight="1">
      <c r="A55" s="5" t="s">
        <v>404</v>
      </c>
      <c r="B55" s="6" t="s">
        <v>405</v>
      </c>
      <c r="C55" s="6" t="s">
        <v>406</v>
      </c>
      <c r="D55" s="5" t="s">
        <v>70</v>
      </c>
      <c r="E55" s="5" t="s">
        <v>25</v>
      </c>
      <c r="F55" s="5" t="s">
        <v>26</v>
      </c>
      <c r="G55" s="6" t="s">
        <v>407</v>
      </c>
      <c r="H55" s="5">
        <v>1.0</v>
      </c>
      <c r="I55" s="6" t="s">
        <v>408</v>
      </c>
      <c r="J55" s="6" t="s">
        <v>136</v>
      </c>
      <c r="K55" s="6" t="s">
        <v>409</v>
      </c>
      <c r="L55" s="6"/>
      <c r="M55" s="5" t="s">
        <v>31</v>
      </c>
      <c r="N55" s="5" t="s">
        <v>96</v>
      </c>
      <c r="O55" s="5" t="s">
        <v>33</v>
      </c>
      <c r="P55" s="5" t="s">
        <v>34</v>
      </c>
      <c r="Q55" s="5" t="s">
        <v>35</v>
      </c>
      <c r="R55" s="5" t="s">
        <v>199</v>
      </c>
      <c r="S55" s="5"/>
      <c r="T55" s="6"/>
    </row>
    <row r="56" ht="48.0" customHeight="1">
      <c r="A56" s="7" t="s">
        <v>410</v>
      </c>
      <c r="B56" s="8" t="s">
        <v>411</v>
      </c>
      <c r="C56" s="8" t="s">
        <v>412</v>
      </c>
      <c r="D56" s="7" t="s">
        <v>70</v>
      </c>
      <c r="E56" s="7" t="s">
        <v>25</v>
      </c>
      <c r="F56" s="7" t="s">
        <v>26</v>
      </c>
      <c r="G56" s="8" t="s">
        <v>413</v>
      </c>
      <c r="H56" s="7">
        <v>1.0</v>
      </c>
      <c r="I56" s="8" t="s">
        <v>414</v>
      </c>
      <c r="J56" s="8" t="s">
        <v>415</v>
      </c>
      <c r="K56" s="8" t="s">
        <v>416</v>
      </c>
      <c r="L56" s="8"/>
      <c r="M56" s="7" t="s">
        <v>31</v>
      </c>
      <c r="N56" s="7" t="s">
        <v>96</v>
      </c>
      <c r="O56" s="7" t="s">
        <v>33</v>
      </c>
      <c r="P56" s="7" t="s">
        <v>34</v>
      </c>
      <c r="Q56" s="7" t="s">
        <v>35</v>
      </c>
      <c r="R56" s="7" t="s">
        <v>199</v>
      </c>
      <c r="S56" s="7"/>
      <c r="T56" s="8"/>
    </row>
    <row r="57" ht="48.0" customHeight="1">
      <c r="A57" s="5" t="s">
        <v>417</v>
      </c>
      <c r="B57" s="6" t="s">
        <v>418</v>
      </c>
      <c r="C57" s="6" t="s">
        <v>419</v>
      </c>
      <c r="D57" s="5" t="s">
        <v>70</v>
      </c>
      <c r="E57" s="5" t="s">
        <v>48</v>
      </c>
      <c r="F57" s="5" t="s">
        <v>110</v>
      </c>
      <c r="G57" s="6" t="s">
        <v>420</v>
      </c>
      <c r="H57" s="5">
        <v>1.0</v>
      </c>
      <c r="I57" s="6" t="s">
        <v>421</v>
      </c>
      <c r="J57" s="6" t="s">
        <v>422</v>
      </c>
      <c r="K57" s="6" t="s">
        <v>423</v>
      </c>
      <c r="L57" s="6"/>
      <c r="M57" s="5" t="s">
        <v>95</v>
      </c>
      <c r="N57" s="5" t="s">
        <v>169</v>
      </c>
      <c r="O57" s="5" t="s">
        <v>33</v>
      </c>
      <c r="P57" s="5" t="s">
        <v>34</v>
      </c>
      <c r="Q57" s="5" t="s">
        <v>35</v>
      </c>
      <c r="R57" s="5" t="s">
        <v>199</v>
      </c>
      <c r="S57" s="5" t="s">
        <v>424</v>
      </c>
      <c r="T57" s="6" t="s">
        <v>425</v>
      </c>
    </row>
    <row r="58" ht="15.75" customHeight="1">
      <c r="E58" s="9"/>
      <c r="F58" s="9"/>
      <c r="M58" s="9"/>
      <c r="N58" s="9"/>
      <c r="O58" s="9"/>
    </row>
    <row r="59" ht="15.75" customHeight="1">
      <c r="E59" s="9"/>
      <c r="F59" s="9"/>
      <c r="M59" s="9"/>
      <c r="N59" s="9"/>
      <c r="O59" s="9"/>
    </row>
    <row r="60" ht="15.75" customHeight="1">
      <c r="E60" s="9"/>
      <c r="F60" s="9"/>
      <c r="M60" s="9"/>
      <c r="N60" s="9"/>
      <c r="O60" s="9"/>
    </row>
    <row r="61" ht="15.75" customHeight="1">
      <c r="E61" s="9"/>
      <c r="F61" s="9"/>
      <c r="M61" s="9"/>
      <c r="N61" s="9"/>
      <c r="O61" s="9"/>
    </row>
    <row r="62" ht="15.75" customHeight="1">
      <c r="E62" s="9"/>
      <c r="F62" s="9"/>
      <c r="M62" s="9"/>
      <c r="N62" s="9"/>
      <c r="O62" s="9"/>
    </row>
    <row r="63" ht="15.75" customHeight="1">
      <c r="E63" s="9"/>
      <c r="F63" s="9"/>
      <c r="M63" s="9"/>
      <c r="N63" s="9"/>
      <c r="O63" s="9"/>
    </row>
    <row r="64" ht="15.75" customHeight="1">
      <c r="E64" s="9"/>
      <c r="F64" s="9"/>
      <c r="M64" s="9"/>
      <c r="N64" s="9"/>
      <c r="O64" s="9"/>
    </row>
    <row r="65" ht="15.75" customHeight="1">
      <c r="E65" s="9"/>
      <c r="F65" s="9"/>
      <c r="M65" s="9"/>
      <c r="N65" s="9"/>
      <c r="O65" s="9"/>
    </row>
    <row r="66" ht="15.75" customHeight="1">
      <c r="E66" s="9"/>
      <c r="F66" s="9"/>
      <c r="M66" s="9"/>
      <c r="N66" s="9"/>
      <c r="O66" s="9"/>
    </row>
    <row r="67" ht="15.75" customHeight="1">
      <c r="E67" s="9"/>
      <c r="F67" s="9"/>
      <c r="M67" s="9"/>
      <c r="N67" s="9"/>
      <c r="O67" s="9"/>
    </row>
    <row r="68" ht="15.75" customHeight="1">
      <c r="E68" s="9"/>
      <c r="F68" s="9"/>
      <c r="M68" s="9"/>
      <c r="N68" s="9"/>
      <c r="O68" s="9"/>
    </row>
    <row r="69" ht="15.75" customHeight="1">
      <c r="E69" s="9"/>
      <c r="F69" s="9"/>
      <c r="M69" s="9"/>
      <c r="N69" s="9"/>
      <c r="O69" s="9"/>
    </row>
    <row r="70" ht="15.75" customHeight="1">
      <c r="E70" s="9"/>
      <c r="F70" s="9"/>
      <c r="M70" s="9"/>
      <c r="N70" s="9"/>
      <c r="O70" s="9"/>
    </row>
    <row r="71" ht="15.75" customHeight="1">
      <c r="E71" s="9"/>
      <c r="F71" s="9"/>
      <c r="M71" s="9"/>
      <c r="N71" s="9"/>
      <c r="O71" s="9"/>
    </row>
    <row r="72" ht="15.75" customHeight="1">
      <c r="E72" s="9"/>
      <c r="F72" s="9"/>
      <c r="M72" s="9"/>
      <c r="N72" s="9"/>
      <c r="O72" s="9"/>
    </row>
    <row r="73" ht="15.75" customHeight="1">
      <c r="E73" s="9"/>
      <c r="F73" s="9"/>
      <c r="M73" s="9"/>
      <c r="N73" s="9"/>
      <c r="O73" s="9"/>
    </row>
    <row r="74" ht="15.75" customHeight="1">
      <c r="E74" s="9"/>
      <c r="F74" s="9"/>
      <c r="M74" s="9"/>
      <c r="N74" s="9"/>
      <c r="O74" s="9"/>
    </row>
    <row r="75" ht="15.75" customHeight="1">
      <c r="E75" s="9"/>
      <c r="F75" s="9"/>
      <c r="M75" s="9"/>
      <c r="N75" s="9"/>
      <c r="O75" s="9"/>
    </row>
    <row r="76" ht="15.75" customHeight="1">
      <c r="E76" s="9"/>
      <c r="F76" s="9"/>
      <c r="M76" s="9"/>
      <c r="N76" s="9"/>
      <c r="O76" s="9"/>
    </row>
    <row r="77" ht="15.75" customHeight="1">
      <c r="E77" s="9"/>
      <c r="F77" s="9"/>
      <c r="M77" s="9"/>
      <c r="N77" s="9"/>
      <c r="O77" s="9"/>
    </row>
    <row r="78" ht="15.75" customHeight="1">
      <c r="E78" s="9"/>
      <c r="F78" s="9"/>
      <c r="M78" s="9"/>
      <c r="N78" s="9"/>
      <c r="O78" s="9"/>
    </row>
    <row r="79" ht="15.75" customHeight="1">
      <c r="E79" s="9"/>
      <c r="F79" s="9"/>
      <c r="M79" s="9"/>
      <c r="N79" s="9"/>
      <c r="O79" s="9"/>
    </row>
    <row r="80" ht="15.75" customHeight="1">
      <c r="E80" s="9"/>
      <c r="F80" s="9"/>
      <c r="M80" s="9"/>
      <c r="N80" s="9"/>
      <c r="O80" s="9"/>
    </row>
    <row r="81" ht="15.75" customHeight="1">
      <c r="E81" s="9"/>
      <c r="F81" s="9"/>
      <c r="M81" s="9"/>
      <c r="N81" s="9"/>
      <c r="O81" s="9"/>
    </row>
    <row r="82" ht="15.75" customHeight="1">
      <c r="E82" s="9"/>
      <c r="F82" s="9"/>
      <c r="M82" s="9"/>
      <c r="N82" s="9"/>
      <c r="O82" s="9"/>
    </row>
    <row r="83" ht="15.75" customHeight="1">
      <c r="E83" s="9"/>
      <c r="F83" s="9"/>
      <c r="M83" s="9"/>
      <c r="N83" s="9"/>
      <c r="O83" s="9"/>
    </row>
    <row r="84" ht="15.75" customHeight="1">
      <c r="E84" s="9"/>
      <c r="F84" s="9"/>
      <c r="M84" s="9"/>
      <c r="N84" s="9"/>
      <c r="O84" s="9"/>
    </row>
    <row r="85" ht="15.75" customHeight="1">
      <c r="E85" s="9"/>
      <c r="F85" s="9"/>
      <c r="M85" s="9"/>
      <c r="N85" s="9"/>
      <c r="O85" s="9"/>
    </row>
    <row r="86" ht="15.75" customHeight="1">
      <c r="E86" s="9"/>
      <c r="F86" s="9"/>
      <c r="M86" s="9"/>
      <c r="N86" s="9"/>
      <c r="O86" s="9"/>
    </row>
    <row r="87" ht="15.75" customHeight="1">
      <c r="E87" s="9"/>
      <c r="F87" s="9"/>
      <c r="M87" s="9"/>
      <c r="N87" s="9"/>
      <c r="O87" s="9"/>
    </row>
    <row r="88" ht="15.75" customHeight="1">
      <c r="E88" s="9"/>
      <c r="F88" s="9"/>
      <c r="M88" s="9"/>
      <c r="N88" s="9"/>
      <c r="O88" s="9"/>
    </row>
    <row r="89" ht="15.75" customHeight="1">
      <c r="E89" s="9"/>
      <c r="F89" s="9"/>
      <c r="M89" s="9"/>
      <c r="N89" s="9"/>
      <c r="O89" s="9"/>
    </row>
    <row r="90" ht="15.75" customHeight="1">
      <c r="E90" s="9"/>
      <c r="F90" s="9"/>
      <c r="M90" s="9"/>
      <c r="N90" s="9"/>
      <c r="O90" s="9"/>
    </row>
    <row r="91" ht="15.75" customHeight="1">
      <c r="E91" s="9"/>
      <c r="F91" s="9"/>
      <c r="M91" s="9"/>
      <c r="N91" s="9"/>
      <c r="O91" s="9"/>
    </row>
    <row r="92" ht="15.75" customHeight="1">
      <c r="E92" s="9"/>
      <c r="F92" s="9"/>
      <c r="M92" s="9"/>
      <c r="N92" s="9"/>
      <c r="O92" s="9"/>
    </row>
    <row r="93" ht="15.75" customHeight="1">
      <c r="E93" s="9"/>
      <c r="F93" s="9"/>
      <c r="M93" s="9"/>
      <c r="N93" s="9"/>
      <c r="O93" s="9"/>
    </row>
    <row r="94" ht="15.75" customHeight="1">
      <c r="E94" s="9"/>
      <c r="F94" s="9"/>
      <c r="M94" s="9"/>
      <c r="N94" s="9"/>
      <c r="O94" s="9"/>
    </row>
    <row r="95" ht="15.75" customHeight="1">
      <c r="E95" s="9"/>
      <c r="F95" s="9"/>
      <c r="M95" s="9"/>
      <c r="N95" s="9"/>
      <c r="O95" s="9"/>
    </row>
    <row r="96" ht="15.75" customHeight="1">
      <c r="E96" s="9"/>
      <c r="F96" s="9"/>
      <c r="M96" s="9"/>
      <c r="N96" s="9"/>
      <c r="O96" s="9"/>
    </row>
    <row r="97" ht="15.75" customHeight="1">
      <c r="E97" s="9"/>
      <c r="F97" s="9"/>
      <c r="M97" s="9"/>
      <c r="N97" s="9"/>
      <c r="O97" s="9"/>
    </row>
    <row r="98" ht="15.75" customHeight="1">
      <c r="E98" s="9"/>
      <c r="F98" s="9"/>
      <c r="M98" s="9"/>
      <c r="N98" s="9"/>
      <c r="O98" s="9"/>
    </row>
    <row r="99" ht="15.75" customHeight="1">
      <c r="E99" s="9"/>
      <c r="F99" s="9"/>
      <c r="M99" s="9"/>
      <c r="N99" s="9"/>
      <c r="O99" s="9"/>
    </row>
    <row r="100" ht="15.75" customHeight="1">
      <c r="E100" s="9"/>
      <c r="F100" s="9"/>
      <c r="M100" s="9"/>
      <c r="N100" s="9"/>
      <c r="O100" s="9"/>
    </row>
    <row r="101" ht="15.75" customHeight="1">
      <c r="E101" s="9"/>
      <c r="F101" s="9"/>
      <c r="M101" s="9"/>
      <c r="N101" s="9"/>
      <c r="O101" s="9"/>
    </row>
    <row r="102" ht="15.75" customHeight="1">
      <c r="E102" s="9"/>
      <c r="F102" s="9"/>
      <c r="M102" s="9"/>
      <c r="N102" s="9"/>
      <c r="O102" s="9"/>
    </row>
    <row r="103" ht="15.75" customHeight="1">
      <c r="E103" s="9"/>
      <c r="F103" s="9"/>
      <c r="M103" s="9"/>
      <c r="N103" s="9"/>
      <c r="O103" s="9"/>
    </row>
    <row r="104" ht="15.75" customHeight="1">
      <c r="E104" s="9"/>
      <c r="F104" s="9"/>
      <c r="M104" s="9"/>
      <c r="N104" s="9"/>
      <c r="O104" s="9"/>
    </row>
    <row r="105" ht="15.75" customHeight="1">
      <c r="E105" s="9"/>
      <c r="F105" s="9"/>
      <c r="M105" s="9"/>
      <c r="N105" s="9"/>
      <c r="O105" s="9"/>
    </row>
    <row r="106" ht="15.75" customHeight="1">
      <c r="E106" s="9"/>
      <c r="F106" s="9"/>
      <c r="M106" s="9"/>
      <c r="N106" s="9"/>
      <c r="O106" s="9"/>
    </row>
    <row r="107" ht="15.75" customHeight="1">
      <c r="E107" s="9"/>
      <c r="F107" s="9"/>
      <c r="M107" s="9"/>
      <c r="N107" s="9"/>
      <c r="O107" s="9"/>
    </row>
    <row r="108" ht="15.75" customHeight="1">
      <c r="E108" s="9"/>
      <c r="F108" s="9"/>
      <c r="M108" s="9"/>
      <c r="N108" s="9"/>
      <c r="O108" s="9"/>
    </row>
    <row r="109" ht="15.75" customHeight="1">
      <c r="E109" s="9"/>
      <c r="F109" s="9"/>
      <c r="M109" s="9"/>
      <c r="N109" s="9"/>
      <c r="O109" s="9"/>
    </row>
    <row r="110" ht="15.75" customHeight="1">
      <c r="E110" s="9"/>
      <c r="F110" s="9"/>
      <c r="M110" s="9"/>
      <c r="N110" s="9"/>
      <c r="O110" s="9"/>
    </row>
    <row r="111" ht="15.75" customHeight="1">
      <c r="E111" s="9"/>
      <c r="F111" s="9"/>
      <c r="M111" s="9"/>
      <c r="N111" s="9"/>
      <c r="O111" s="9"/>
    </row>
    <row r="112" ht="15.75" customHeight="1">
      <c r="E112" s="9"/>
      <c r="F112" s="9"/>
      <c r="M112" s="9"/>
      <c r="N112" s="9"/>
      <c r="O112" s="9"/>
    </row>
    <row r="113" ht="15.75" customHeight="1">
      <c r="E113" s="9"/>
      <c r="F113" s="9"/>
      <c r="M113" s="9"/>
      <c r="N113" s="9"/>
      <c r="O113" s="9"/>
    </row>
    <row r="114" ht="15.75" customHeight="1">
      <c r="E114" s="9"/>
      <c r="F114" s="9"/>
      <c r="M114" s="9"/>
      <c r="N114" s="9"/>
      <c r="O114" s="9"/>
    </row>
    <row r="115" ht="15.75" customHeight="1">
      <c r="E115" s="9"/>
      <c r="F115" s="9"/>
      <c r="M115" s="9"/>
      <c r="N115" s="9"/>
      <c r="O115" s="9"/>
    </row>
    <row r="116" ht="15.75" customHeight="1">
      <c r="E116" s="9"/>
      <c r="F116" s="9"/>
      <c r="M116" s="9"/>
      <c r="N116" s="9"/>
      <c r="O116" s="9"/>
    </row>
    <row r="117" ht="15.75" customHeight="1">
      <c r="E117" s="9"/>
      <c r="F117" s="9"/>
      <c r="M117" s="9"/>
      <c r="N117" s="9"/>
      <c r="O117" s="9"/>
    </row>
    <row r="118" ht="15.75" customHeight="1">
      <c r="E118" s="9"/>
      <c r="F118" s="9"/>
      <c r="M118" s="9"/>
      <c r="N118" s="9"/>
      <c r="O118" s="9"/>
    </row>
    <row r="119" ht="15.75" customHeight="1">
      <c r="E119" s="9"/>
      <c r="F119" s="9"/>
      <c r="M119" s="9"/>
      <c r="N119" s="9"/>
      <c r="O119" s="9"/>
    </row>
    <row r="120" ht="15.75" customHeight="1">
      <c r="E120" s="9"/>
      <c r="F120" s="9"/>
      <c r="M120" s="9"/>
      <c r="N120" s="9"/>
      <c r="O120" s="9"/>
    </row>
    <row r="121" ht="15.75" customHeight="1">
      <c r="E121" s="9"/>
      <c r="F121" s="9"/>
      <c r="M121" s="9"/>
      <c r="N121" s="9"/>
      <c r="O121" s="9"/>
    </row>
    <row r="122" ht="15.75" customHeight="1">
      <c r="E122" s="9"/>
      <c r="F122" s="9"/>
      <c r="M122" s="9"/>
      <c r="N122" s="9"/>
      <c r="O122" s="9"/>
    </row>
    <row r="123" ht="15.75" customHeight="1">
      <c r="E123" s="9"/>
      <c r="F123" s="9"/>
      <c r="M123" s="9"/>
      <c r="N123" s="9"/>
      <c r="O123" s="9"/>
    </row>
    <row r="124" ht="15.75" customHeight="1">
      <c r="E124" s="9"/>
      <c r="F124" s="9"/>
      <c r="M124" s="9"/>
      <c r="N124" s="9"/>
      <c r="O124" s="9"/>
    </row>
    <row r="125" ht="15.75" customHeight="1">
      <c r="E125" s="9"/>
      <c r="F125" s="9"/>
      <c r="M125" s="9"/>
      <c r="N125" s="9"/>
      <c r="O125" s="9"/>
    </row>
    <row r="126" ht="15.75" customHeight="1">
      <c r="E126" s="9"/>
      <c r="F126" s="9"/>
      <c r="M126" s="9"/>
      <c r="N126" s="9"/>
      <c r="O126" s="9"/>
    </row>
    <row r="127" ht="15.75" customHeight="1">
      <c r="E127" s="9"/>
      <c r="F127" s="9"/>
      <c r="M127" s="9"/>
      <c r="N127" s="9"/>
      <c r="O127" s="9"/>
    </row>
    <row r="128" ht="15.75" customHeight="1">
      <c r="E128" s="9"/>
      <c r="F128" s="9"/>
      <c r="M128" s="9"/>
      <c r="N128" s="9"/>
      <c r="O128" s="9"/>
    </row>
    <row r="129" ht="15.75" customHeight="1">
      <c r="E129" s="9"/>
      <c r="F129" s="9"/>
      <c r="M129" s="9"/>
      <c r="N129" s="9"/>
      <c r="O129" s="9"/>
    </row>
    <row r="130" ht="15.75" customHeight="1">
      <c r="E130" s="9"/>
      <c r="F130" s="9"/>
      <c r="M130" s="9"/>
      <c r="N130" s="9"/>
      <c r="O130" s="9"/>
    </row>
    <row r="131" ht="15.75" customHeight="1">
      <c r="E131" s="9"/>
      <c r="F131" s="9"/>
      <c r="M131" s="9"/>
      <c r="N131" s="9"/>
      <c r="O131" s="9"/>
    </row>
    <row r="132" ht="15.75" customHeight="1">
      <c r="E132" s="9"/>
      <c r="F132" s="9"/>
      <c r="M132" s="9"/>
      <c r="N132" s="9"/>
      <c r="O132" s="9"/>
    </row>
    <row r="133" ht="15.75" customHeight="1">
      <c r="E133" s="9"/>
      <c r="F133" s="9"/>
      <c r="M133" s="9"/>
      <c r="N133" s="9"/>
      <c r="O133" s="9"/>
    </row>
    <row r="134" ht="15.75" customHeight="1">
      <c r="E134" s="9"/>
      <c r="F134" s="9"/>
      <c r="M134" s="9"/>
      <c r="N134" s="9"/>
      <c r="O134" s="9"/>
    </row>
    <row r="135" ht="15.75" customHeight="1">
      <c r="E135" s="9"/>
      <c r="F135" s="9"/>
      <c r="M135" s="9"/>
      <c r="N135" s="9"/>
      <c r="O135" s="9"/>
    </row>
    <row r="136" ht="15.75" customHeight="1">
      <c r="E136" s="9"/>
      <c r="F136" s="9"/>
      <c r="M136" s="9"/>
      <c r="N136" s="9"/>
      <c r="O136" s="9"/>
    </row>
    <row r="137" ht="15.75" customHeight="1">
      <c r="E137" s="9"/>
      <c r="F137" s="9"/>
      <c r="M137" s="9"/>
      <c r="N137" s="9"/>
      <c r="O137" s="9"/>
    </row>
    <row r="138" ht="15.75" customHeight="1">
      <c r="E138" s="9"/>
      <c r="F138" s="9"/>
      <c r="M138" s="9"/>
      <c r="N138" s="9"/>
      <c r="O138" s="9"/>
    </row>
    <row r="139" ht="15.75" customHeight="1">
      <c r="E139" s="9"/>
      <c r="F139" s="9"/>
      <c r="M139" s="9"/>
      <c r="N139" s="9"/>
      <c r="O139" s="9"/>
    </row>
    <row r="140" ht="15.75" customHeight="1">
      <c r="E140" s="9"/>
      <c r="F140" s="9"/>
      <c r="M140" s="9"/>
      <c r="N140" s="9"/>
      <c r="O140" s="9"/>
    </row>
    <row r="141" ht="15.75" customHeight="1">
      <c r="E141" s="9"/>
      <c r="F141" s="9"/>
      <c r="M141" s="9"/>
      <c r="N141" s="9"/>
      <c r="O141" s="9"/>
    </row>
    <row r="142" ht="15.75" customHeight="1">
      <c r="E142" s="9"/>
      <c r="F142" s="9"/>
      <c r="M142" s="9"/>
      <c r="N142" s="9"/>
      <c r="O142" s="9"/>
    </row>
    <row r="143" ht="15.75" customHeight="1">
      <c r="E143" s="9"/>
      <c r="F143" s="9"/>
      <c r="M143" s="9"/>
      <c r="N143" s="9"/>
      <c r="O143" s="9"/>
    </row>
    <row r="144" ht="15.75" customHeight="1">
      <c r="E144" s="9"/>
      <c r="F144" s="9"/>
      <c r="M144" s="9"/>
      <c r="N144" s="9"/>
      <c r="O144" s="9"/>
    </row>
    <row r="145" ht="15.75" customHeight="1">
      <c r="E145" s="9"/>
      <c r="F145" s="9"/>
      <c r="M145" s="9"/>
      <c r="N145" s="9"/>
      <c r="O145" s="9"/>
    </row>
    <row r="146" ht="15.75" customHeight="1">
      <c r="E146" s="9"/>
      <c r="F146" s="9"/>
      <c r="M146" s="9"/>
      <c r="N146" s="9"/>
      <c r="O146" s="9"/>
    </row>
    <row r="147" ht="15.75" customHeight="1">
      <c r="E147" s="9"/>
      <c r="F147" s="9"/>
      <c r="M147" s="9"/>
      <c r="N147" s="9"/>
      <c r="O147" s="9"/>
    </row>
    <row r="148" ht="15.75" customHeight="1">
      <c r="E148" s="9"/>
      <c r="F148" s="9"/>
      <c r="M148" s="9"/>
      <c r="N148" s="9"/>
      <c r="O148" s="9"/>
    </row>
    <row r="149" ht="15.75" customHeight="1">
      <c r="E149" s="9"/>
      <c r="F149" s="9"/>
      <c r="M149" s="9"/>
      <c r="N149" s="9"/>
      <c r="O149" s="9"/>
    </row>
    <row r="150" ht="15.75" customHeight="1">
      <c r="E150" s="9"/>
      <c r="F150" s="9"/>
      <c r="M150" s="9"/>
      <c r="N150" s="9"/>
      <c r="O150" s="9"/>
    </row>
    <row r="151" ht="15.75" customHeight="1">
      <c r="E151" s="9"/>
      <c r="F151" s="9"/>
      <c r="M151" s="9"/>
      <c r="N151" s="9"/>
      <c r="O151" s="9"/>
    </row>
    <row r="152" ht="15.75" customHeight="1">
      <c r="E152" s="9"/>
      <c r="F152" s="9"/>
      <c r="M152" s="9"/>
      <c r="N152" s="9"/>
      <c r="O152" s="9"/>
    </row>
    <row r="153" ht="15.75" customHeight="1">
      <c r="E153" s="9"/>
      <c r="F153" s="9"/>
      <c r="M153" s="9"/>
      <c r="N153" s="9"/>
      <c r="O153" s="9"/>
    </row>
    <row r="154" ht="15.75" customHeight="1">
      <c r="E154" s="9"/>
      <c r="F154" s="9"/>
      <c r="M154" s="9"/>
      <c r="N154" s="9"/>
      <c r="O154" s="9"/>
    </row>
    <row r="155" ht="15.75" customHeight="1">
      <c r="E155" s="9"/>
      <c r="F155" s="9"/>
      <c r="M155" s="9"/>
      <c r="N155" s="9"/>
      <c r="O155" s="9"/>
    </row>
    <row r="156" ht="15.75" customHeight="1">
      <c r="E156" s="9"/>
      <c r="F156" s="9"/>
      <c r="M156" s="9"/>
      <c r="N156" s="9"/>
      <c r="O156" s="9"/>
    </row>
    <row r="157" ht="15.75" customHeight="1">
      <c r="E157" s="9"/>
      <c r="F157" s="9"/>
      <c r="M157" s="9"/>
      <c r="N157" s="9"/>
      <c r="O157" s="9"/>
    </row>
    <row r="158" ht="15.75" customHeight="1">
      <c r="E158" s="9"/>
      <c r="F158" s="9"/>
      <c r="M158" s="9"/>
      <c r="N158" s="9"/>
      <c r="O158" s="9"/>
    </row>
    <row r="159" ht="15.75" customHeight="1">
      <c r="E159" s="9"/>
      <c r="F159" s="9"/>
      <c r="M159" s="9"/>
      <c r="N159" s="9"/>
      <c r="O159" s="9"/>
    </row>
    <row r="160" ht="15.75" customHeight="1">
      <c r="E160" s="9"/>
      <c r="F160" s="9"/>
      <c r="M160" s="9"/>
      <c r="N160" s="9"/>
      <c r="O160" s="9"/>
    </row>
    <row r="161" ht="15.75" customHeight="1">
      <c r="E161" s="9"/>
      <c r="F161" s="9"/>
      <c r="M161" s="9"/>
      <c r="N161" s="9"/>
      <c r="O161" s="9"/>
    </row>
    <row r="162" ht="15.75" customHeight="1">
      <c r="E162" s="9"/>
      <c r="F162" s="9"/>
      <c r="M162" s="9"/>
      <c r="N162" s="9"/>
      <c r="O162" s="9"/>
    </row>
    <row r="163" ht="15.75" customHeight="1">
      <c r="E163" s="9"/>
      <c r="F163" s="9"/>
      <c r="M163" s="9"/>
      <c r="N163" s="9"/>
      <c r="O163" s="9"/>
    </row>
    <row r="164" ht="15.75" customHeight="1">
      <c r="E164" s="9"/>
      <c r="F164" s="9"/>
      <c r="M164" s="9"/>
      <c r="N164" s="9"/>
      <c r="O164" s="9"/>
    </row>
    <row r="165" ht="15.75" customHeight="1">
      <c r="E165" s="9"/>
      <c r="F165" s="9"/>
      <c r="M165" s="9"/>
      <c r="N165" s="9"/>
      <c r="O165" s="9"/>
    </row>
    <row r="166" ht="15.75" customHeight="1">
      <c r="E166" s="9"/>
      <c r="F166" s="9"/>
      <c r="M166" s="9"/>
      <c r="N166" s="9"/>
      <c r="O166" s="9"/>
    </row>
    <row r="167" ht="15.75" customHeight="1">
      <c r="E167" s="9"/>
      <c r="F167" s="9"/>
      <c r="M167" s="9"/>
      <c r="N167" s="9"/>
      <c r="O167" s="9"/>
    </row>
    <row r="168" ht="15.75" customHeight="1">
      <c r="E168" s="9"/>
      <c r="F168" s="9"/>
      <c r="M168" s="9"/>
      <c r="N168" s="9"/>
      <c r="O168" s="9"/>
    </row>
    <row r="169" ht="15.75" customHeight="1">
      <c r="E169" s="9"/>
      <c r="F169" s="9"/>
      <c r="M169" s="9"/>
      <c r="N169" s="9"/>
      <c r="O169" s="9"/>
    </row>
    <row r="170" ht="15.75" customHeight="1">
      <c r="E170" s="9"/>
      <c r="F170" s="9"/>
      <c r="M170" s="9"/>
      <c r="N170" s="9"/>
      <c r="O170" s="9"/>
    </row>
    <row r="171" ht="15.75" customHeight="1">
      <c r="E171" s="9"/>
      <c r="F171" s="9"/>
      <c r="M171" s="9"/>
      <c r="N171" s="9"/>
      <c r="O171" s="9"/>
    </row>
    <row r="172" ht="15.75" customHeight="1">
      <c r="E172" s="9"/>
      <c r="F172" s="9"/>
      <c r="M172" s="9"/>
      <c r="N172" s="9"/>
      <c r="O172" s="9"/>
    </row>
    <row r="173" ht="15.75" customHeight="1">
      <c r="E173" s="9"/>
      <c r="F173" s="9"/>
      <c r="M173" s="9"/>
      <c r="N173" s="9"/>
      <c r="O173" s="9"/>
    </row>
    <row r="174" ht="15.75" customHeight="1">
      <c r="E174" s="9"/>
      <c r="F174" s="9"/>
      <c r="M174" s="9"/>
      <c r="N174" s="9"/>
      <c r="O174" s="9"/>
    </row>
    <row r="175" ht="15.75" customHeight="1">
      <c r="E175" s="9"/>
      <c r="F175" s="9"/>
      <c r="M175" s="9"/>
      <c r="N175" s="9"/>
      <c r="O175" s="9"/>
    </row>
    <row r="176" ht="15.75" customHeight="1">
      <c r="E176" s="9"/>
      <c r="F176" s="9"/>
      <c r="M176" s="9"/>
      <c r="N176" s="9"/>
      <c r="O176" s="9"/>
    </row>
    <row r="177" ht="15.75" customHeight="1">
      <c r="E177" s="9"/>
      <c r="F177" s="9"/>
      <c r="M177" s="9"/>
      <c r="N177" s="9"/>
      <c r="O177" s="9"/>
    </row>
    <row r="178" ht="15.75" customHeight="1">
      <c r="E178" s="9"/>
      <c r="F178" s="9"/>
      <c r="M178" s="9"/>
      <c r="N178" s="9"/>
      <c r="O178" s="9"/>
    </row>
    <row r="179" ht="15.75" customHeight="1">
      <c r="E179" s="9"/>
      <c r="F179" s="9"/>
      <c r="M179" s="9"/>
      <c r="N179" s="9"/>
      <c r="O179" s="9"/>
    </row>
    <row r="180" ht="15.75" customHeight="1">
      <c r="E180" s="9"/>
      <c r="F180" s="9"/>
      <c r="M180" s="9"/>
      <c r="N180" s="9"/>
      <c r="O180" s="9"/>
    </row>
    <row r="181" ht="15.75" customHeight="1">
      <c r="E181" s="9"/>
      <c r="F181" s="9"/>
      <c r="M181" s="9"/>
      <c r="N181" s="9"/>
      <c r="O181" s="9"/>
    </row>
    <row r="182" ht="15.75" customHeight="1">
      <c r="E182" s="9"/>
      <c r="F182" s="9"/>
      <c r="M182" s="9"/>
      <c r="N182" s="9"/>
      <c r="O182" s="9"/>
    </row>
    <row r="183" ht="15.75" customHeight="1">
      <c r="E183" s="9"/>
      <c r="F183" s="9"/>
      <c r="M183" s="9"/>
      <c r="N183" s="9"/>
      <c r="O183" s="9"/>
    </row>
    <row r="184" ht="15.75" customHeight="1">
      <c r="E184" s="9"/>
      <c r="F184" s="9"/>
      <c r="M184" s="9"/>
      <c r="N184" s="9"/>
      <c r="O184" s="9"/>
    </row>
    <row r="185" ht="15.75" customHeight="1">
      <c r="E185" s="9"/>
      <c r="F185" s="9"/>
      <c r="M185" s="9"/>
      <c r="N185" s="9"/>
      <c r="O185" s="9"/>
    </row>
    <row r="186" ht="15.75" customHeight="1">
      <c r="E186" s="9"/>
      <c r="F186" s="9"/>
      <c r="M186" s="9"/>
      <c r="N186" s="9"/>
      <c r="O186" s="9"/>
    </row>
    <row r="187" ht="15.75" customHeight="1">
      <c r="E187" s="9"/>
      <c r="F187" s="9"/>
      <c r="M187" s="9"/>
      <c r="N187" s="9"/>
      <c r="O187" s="9"/>
    </row>
    <row r="188" ht="15.75" customHeight="1">
      <c r="E188" s="9"/>
      <c r="F188" s="9"/>
      <c r="M188" s="9"/>
      <c r="N188" s="9"/>
      <c r="O188" s="9"/>
    </row>
    <row r="189" ht="15.75" customHeight="1">
      <c r="E189" s="9"/>
      <c r="F189" s="9"/>
      <c r="M189" s="9"/>
      <c r="N189" s="9"/>
      <c r="O189" s="9"/>
    </row>
    <row r="190" ht="15.75" customHeight="1">
      <c r="E190" s="9"/>
      <c r="F190" s="9"/>
      <c r="M190" s="9"/>
      <c r="N190" s="9"/>
      <c r="O190" s="9"/>
    </row>
    <row r="191" ht="15.75" customHeight="1">
      <c r="E191" s="9"/>
      <c r="F191" s="9"/>
      <c r="M191" s="9"/>
      <c r="N191" s="9"/>
      <c r="O191" s="9"/>
    </row>
    <row r="192" ht="15.75" customHeight="1">
      <c r="E192" s="9"/>
      <c r="F192" s="9"/>
      <c r="M192" s="9"/>
      <c r="N192" s="9"/>
      <c r="O192" s="9"/>
    </row>
    <row r="193" ht="15.75" customHeight="1">
      <c r="E193" s="9"/>
      <c r="F193" s="9"/>
      <c r="M193" s="9"/>
      <c r="N193" s="9"/>
      <c r="O193" s="9"/>
    </row>
    <row r="194" ht="15.75" customHeight="1">
      <c r="E194" s="9"/>
      <c r="F194" s="9"/>
      <c r="M194" s="9"/>
      <c r="N194" s="9"/>
      <c r="O194" s="9"/>
    </row>
    <row r="195" ht="15.75" customHeight="1">
      <c r="E195" s="9"/>
      <c r="F195" s="9"/>
      <c r="M195" s="9"/>
      <c r="N195" s="9"/>
      <c r="O195" s="9"/>
    </row>
    <row r="196" ht="15.75" customHeight="1">
      <c r="E196" s="9"/>
      <c r="F196" s="9"/>
      <c r="M196" s="9"/>
      <c r="N196" s="9"/>
      <c r="O196" s="9"/>
    </row>
    <row r="197" ht="15.75" customHeight="1">
      <c r="E197" s="9"/>
      <c r="F197" s="9"/>
      <c r="M197" s="9"/>
      <c r="N197" s="9"/>
      <c r="O197" s="9"/>
    </row>
    <row r="198" ht="15.75" customHeight="1">
      <c r="E198" s="9"/>
      <c r="F198" s="9"/>
      <c r="M198" s="9"/>
      <c r="N198" s="9"/>
      <c r="O198" s="9"/>
    </row>
    <row r="199" ht="15.75" customHeight="1">
      <c r="E199" s="9"/>
      <c r="F199" s="9"/>
      <c r="M199" s="9"/>
      <c r="N199" s="9"/>
      <c r="O199" s="9"/>
    </row>
    <row r="200" ht="15.75" customHeight="1">
      <c r="E200" s="9"/>
      <c r="F200" s="9"/>
      <c r="M200" s="9"/>
      <c r="N200" s="9"/>
      <c r="O200" s="9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T1"/>
  </mergeCells>
  <conditionalFormatting sqref="M3:M1000">
    <cfRule type="cellIs" dxfId="0" priority="1" operator="equal">
      <formula>"Pass"</formula>
    </cfRule>
  </conditionalFormatting>
  <conditionalFormatting sqref="M3:M1000">
    <cfRule type="cellIs" dxfId="1" priority="2" operator="equal">
      <formula>"Fail"</formula>
    </cfRule>
  </conditionalFormatting>
  <conditionalFormatting sqref="M3:M1000">
    <cfRule type="cellIs" dxfId="2" priority="3" operator="equal">
      <formula>"Blocked"</formula>
    </cfRule>
  </conditionalFormatting>
  <conditionalFormatting sqref="E3:E1000">
    <cfRule type="cellIs" dxfId="3" priority="4" operator="equal">
      <formula>"High"</formula>
    </cfRule>
  </conditionalFormatting>
  <conditionalFormatting sqref="E3:E1000">
    <cfRule type="cellIs" dxfId="4" priority="5" operator="equal">
      <formula>"Medium"</formula>
    </cfRule>
  </conditionalFormatting>
  <conditionalFormatting sqref="E3:E1000">
    <cfRule type="cellIs" dxfId="5" priority="6" operator="equal">
      <formula>"Low"</formula>
    </cfRule>
  </conditionalFormatting>
  <dataValidations>
    <dataValidation type="list" allowBlank="1" sqref="F3:F200">
      <formula1>"Critical,Major,Minor,Trivial"</formula1>
    </dataValidation>
    <dataValidation type="list" allowBlank="1" sqref="E3:E200">
      <formula1>"High,Medium,Low"</formula1>
    </dataValidation>
    <dataValidation type="list" allowBlank="1" sqref="M3:M200">
      <formula1>"Pass,Fail,Blocked,Not Run,In Progress"</formula1>
    </dataValidation>
    <dataValidation type="list" allowBlank="1" sqref="O3:O200">
      <formula1>"Chrome 124,Firefox 125,Safari 17,Edge 124,Android 14,iOS 17,API"</formula1>
    </dataValidation>
    <dataValidation type="list" allowBlank="1" sqref="N3:N200">
      <formula1>"Functional,Regression,Usability,Smoke,Security,Performance,UAT"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8.71"/>
    <col customWidth="1" min="4" max="7" width="13.0"/>
    <col customWidth="1" min="8" max="8" width="21.14"/>
    <col customWidth="1" min="9" max="26" width="8.71"/>
  </cols>
  <sheetData>
    <row r="1" ht="33.75" customHeight="1">
      <c r="A1" s="10" t="s">
        <v>426</v>
      </c>
      <c r="B1" s="2"/>
      <c r="C1" s="2"/>
      <c r="D1" s="2"/>
      <c r="E1" s="2"/>
      <c r="F1" s="2"/>
      <c r="G1" s="2"/>
      <c r="H1" s="3"/>
    </row>
    <row r="3" ht="24.0" customHeight="1">
      <c r="A3" s="4" t="s">
        <v>427</v>
      </c>
      <c r="B3" s="4" t="s">
        <v>428</v>
      </c>
      <c r="D3" s="4" t="s">
        <v>4</v>
      </c>
      <c r="E3" s="4" t="s">
        <v>429</v>
      </c>
      <c r="F3" s="11" t="s">
        <v>31</v>
      </c>
      <c r="G3" s="11" t="s">
        <v>95</v>
      </c>
      <c r="H3" s="11" t="s">
        <v>400</v>
      </c>
    </row>
    <row r="4" ht="19.5" customHeight="1">
      <c r="A4" s="12" t="s">
        <v>430</v>
      </c>
      <c r="B4" s="13">
        <f>COUNTA('Test Cases'!A3:A200)</f>
        <v>55</v>
      </c>
      <c r="D4" s="14" t="s">
        <v>24</v>
      </c>
      <c r="E4" s="15">
        <f>COUNTIF('Test Cases'!D3:D200,D4)</f>
        <v>5</v>
      </c>
      <c r="F4" s="15">
        <f>COUNTIFS('Test Cases'!D3:D200,D4,'Test Cases'!M3:M200,"Pass")</f>
        <v>5</v>
      </c>
      <c r="G4" s="15">
        <f>COUNTIFS('Test Cases'!D3:D200,D4,'Test Cases'!M3:M200,"Fail")</f>
        <v>0</v>
      </c>
      <c r="H4" s="15">
        <f>COUNTIFS('Test Cases'!D3:D200,D4,'Test Cases'!M3:M200,"Blocked")</f>
        <v>0</v>
      </c>
    </row>
    <row r="5" ht="19.5" customHeight="1">
      <c r="A5" s="16" t="s">
        <v>431</v>
      </c>
      <c r="B5" s="17">
        <f>COUNTIF('Test Cases'!M3:M200,"Pass")</f>
        <v>50</v>
      </c>
      <c r="D5" s="18" t="s">
        <v>70</v>
      </c>
      <c r="E5" s="19">
        <f>COUNTIF('Test Cases'!D3:D200,D5)</f>
        <v>10</v>
      </c>
      <c r="F5" s="19">
        <f>COUNTIFS('Test Cases'!D3:D200,D5,'Test Cases'!M3:M200,"Pass")</f>
        <v>8</v>
      </c>
      <c r="G5" s="19">
        <f>COUNTIFS('Test Cases'!D3:D200,D5,'Test Cases'!M3:M200,"Fail")</f>
        <v>2</v>
      </c>
      <c r="H5" s="19">
        <f>COUNTIFS('Test Cases'!D3:D200,D5,'Test Cases'!M3:M200,"Blocked")</f>
        <v>0</v>
      </c>
    </row>
    <row r="6" ht="19.5" customHeight="1">
      <c r="A6" s="12" t="s">
        <v>432</v>
      </c>
      <c r="B6" s="13">
        <f>COUNTIF('Test Cases'!M3:M200,"Fail")</f>
        <v>4</v>
      </c>
      <c r="D6" s="14" t="s">
        <v>125</v>
      </c>
      <c r="E6" s="15">
        <f>COUNTIF('Test Cases'!D3:D200,D6)</f>
        <v>10</v>
      </c>
      <c r="F6" s="15">
        <f>COUNTIFS('Test Cases'!D3:D200,D6,'Test Cases'!M3:M200,"Pass")</f>
        <v>9</v>
      </c>
      <c r="G6" s="15">
        <f>COUNTIFS('Test Cases'!D3:D200,D6,'Test Cases'!M3:M200,"Fail")</f>
        <v>0</v>
      </c>
      <c r="H6" s="15">
        <f>COUNTIFS('Test Cases'!D3:D200,D6,'Test Cases'!M3:M200,"Blocked")</f>
        <v>1</v>
      </c>
    </row>
    <row r="7" ht="19.5" customHeight="1">
      <c r="A7" s="16" t="s">
        <v>400</v>
      </c>
      <c r="B7" s="17">
        <f>COUNTIF('Test Cases'!M3:M200,"Blocked")</f>
        <v>1</v>
      </c>
      <c r="D7" s="18" t="s">
        <v>180</v>
      </c>
      <c r="E7" s="19">
        <f>COUNTIF('Test Cases'!D3:D200,D7)</f>
        <v>8</v>
      </c>
      <c r="F7" s="19">
        <f>COUNTIFS('Test Cases'!D3:D200,D7,'Test Cases'!M3:M200,"Pass")</f>
        <v>7</v>
      </c>
      <c r="G7" s="19">
        <f>COUNTIFS('Test Cases'!D3:D200,D7,'Test Cases'!M3:M200,"Fail")</f>
        <v>1</v>
      </c>
      <c r="H7" s="19">
        <f>COUNTIFS('Test Cases'!D3:D200,D7,'Test Cases'!M3:M200,"Blocked")</f>
        <v>0</v>
      </c>
    </row>
    <row r="8" ht="19.5" customHeight="1">
      <c r="A8" s="12" t="s">
        <v>433</v>
      </c>
      <c r="B8" s="13">
        <f>COUNTIF('Test Cases'!M3:M200,"Not Run")</f>
        <v>0</v>
      </c>
      <c r="D8" s="14" t="s">
        <v>237</v>
      </c>
      <c r="E8" s="15">
        <f>COUNTIF('Test Cases'!D3:D200,D8)</f>
        <v>4</v>
      </c>
      <c r="F8" s="15">
        <f>COUNTIFS('Test Cases'!D3:D200,D8,'Test Cases'!M3:M200,"Pass")</f>
        <v>4</v>
      </c>
      <c r="G8" s="15">
        <f>COUNTIFS('Test Cases'!D3:D200,D8,'Test Cases'!M3:M200,"Fail")</f>
        <v>0</v>
      </c>
      <c r="H8" s="15">
        <f>COUNTIFS('Test Cases'!D3:D200,D8,'Test Cases'!M3:M200,"Blocked")</f>
        <v>0</v>
      </c>
    </row>
    <row r="9" ht="19.5" customHeight="1">
      <c r="A9" s="16" t="s">
        <v>434</v>
      </c>
      <c r="B9" s="20">
        <f>IFERROR(COUNTIF('Test Cases'!M3:M200,"Pass")/COUNTA('Test Cases'!A3:A200)*100,0)</f>
        <v>90.90909091</v>
      </c>
      <c r="D9" s="18" t="s">
        <v>263</v>
      </c>
      <c r="E9" s="19">
        <f>COUNTIF('Test Cases'!D3:D200,D9)</f>
        <v>5</v>
      </c>
      <c r="F9" s="19">
        <f>COUNTIFS('Test Cases'!D3:D200,D9,'Test Cases'!M3:M200,"Pass")</f>
        <v>5</v>
      </c>
      <c r="G9" s="19">
        <f>COUNTIFS('Test Cases'!D3:D200,D9,'Test Cases'!M3:M200,"Fail")</f>
        <v>0</v>
      </c>
      <c r="H9" s="19">
        <f>COUNTIFS('Test Cases'!D3:D200,D9,'Test Cases'!M3:M200,"Blocked")</f>
        <v>0</v>
      </c>
    </row>
    <row r="10" ht="19.5" customHeight="1">
      <c r="A10" s="12" t="s">
        <v>435</v>
      </c>
      <c r="B10" s="21">
        <f>IFERROR(COUNTIF('Test Cases'!M3:M200,"Fail")/COUNTA('Test Cases'!A3:A200)*100,0)</f>
        <v>7.272727273</v>
      </c>
      <c r="D10" s="14" t="s">
        <v>295</v>
      </c>
      <c r="E10" s="15">
        <f>COUNTIF('Test Cases'!D3:D200,D10)</f>
        <v>4</v>
      </c>
      <c r="F10" s="15">
        <f>COUNTIFS('Test Cases'!D3:D200,D10,'Test Cases'!M3:M200,"Pass")</f>
        <v>4</v>
      </c>
      <c r="G10" s="15">
        <f>COUNTIFS('Test Cases'!D3:D200,D10,'Test Cases'!M3:M200,"Fail")</f>
        <v>0</v>
      </c>
      <c r="H10" s="15">
        <f>COUNTIFS('Test Cases'!D3:D200,D10,'Test Cases'!M3:M200,"Blocked")</f>
        <v>0</v>
      </c>
    </row>
    <row r="11" ht="19.5" customHeight="1">
      <c r="A11" s="16" t="s">
        <v>436</v>
      </c>
      <c r="B11" s="17">
        <f>COUNTIF('Test Cases'!E3:E200,"High")</f>
        <v>35</v>
      </c>
      <c r="D11" s="18" t="s">
        <v>323</v>
      </c>
      <c r="E11" s="19">
        <f>COUNTIF('Test Cases'!D3:D200,D11)</f>
        <v>3</v>
      </c>
      <c r="F11" s="19">
        <f>COUNTIFS('Test Cases'!D3:D200,D11,'Test Cases'!M3:M200,"Pass")</f>
        <v>2</v>
      </c>
      <c r="G11" s="19">
        <f>COUNTIFS('Test Cases'!D3:D200,D11,'Test Cases'!M3:M200,"Fail")</f>
        <v>1</v>
      </c>
      <c r="H11" s="19">
        <f>COUNTIFS('Test Cases'!D3:D200,D11,'Test Cases'!M3:M200,"Blocked")</f>
        <v>0</v>
      </c>
    </row>
    <row r="12" ht="19.5" customHeight="1">
      <c r="A12" s="12" t="s">
        <v>437</v>
      </c>
      <c r="B12" s="13">
        <f>COUNTIF('Test Cases'!F3:F200,"Critical")</f>
        <v>17</v>
      </c>
      <c r="D12" s="14" t="s">
        <v>346</v>
      </c>
      <c r="E12" s="15">
        <f>COUNTIF('Test Cases'!D3:D200,D12)</f>
        <v>3</v>
      </c>
      <c r="F12" s="15">
        <f>COUNTIFS('Test Cases'!D3:D200,D12,'Test Cases'!M3:M200,"Pass")</f>
        <v>3</v>
      </c>
      <c r="G12" s="15">
        <f>COUNTIFS('Test Cases'!D3:D200,D12,'Test Cases'!M3:M200,"Fail")</f>
        <v>0</v>
      </c>
      <c r="H12" s="15">
        <f>COUNTIFS('Test Cases'!D3:D200,D12,'Test Cases'!M3:M200,"Blocked")</f>
        <v>0</v>
      </c>
    </row>
    <row r="13" ht="19.5" customHeight="1">
      <c r="A13" s="16"/>
      <c r="B13" s="17"/>
      <c r="D13" s="18" t="s">
        <v>366</v>
      </c>
      <c r="E13" s="19">
        <f>COUNTIF('Test Cases'!D3:D200,D13)</f>
        <v>2</v>
      </c>
      <c r="F13" s="19">
        <f>COUNTIFS('Test Cases'!D3:D200,D13,'Test Cases'!M3:M200,"Pass")</f>
        <v>2</v>
      </c>
      <c r="G13" s="19">
        <f>COUNTIFS('Test Cases'!D3:D200,D13,'Test Cases'!M3:M200,"Fail")</f>
        <v>0</v>
      </c>
      <c r="H13" s="19">
        <f>COUNTIFS('Test Cases'!D3:D200,D13,'Test Cases'!M3:M200,"Blocked")</f>
        <v>0</v>
      </c>
    </row>
    <row r="14" ht="19.5" customHeight="1">
      <c r="A14" s="12"/>
      <c r="B14" s="13"/>
      <c r="D14" s="14" t="s">
        <v>380</v>
      </c>
      <c r="E14" s="15">
        <f>COUNTIF('Test Cases'!D3:D200,D14)</f>
        <v>1</v>
      </c>
      <c r="F14" s="15">
        <f>COUNTIFS('Test Cases'!D3:D200,D14,'Test Cases'!M3:M200,"Pass")</f>
        <v>1</v>
      </c>
      <c r="G14" s="15">
        <f>COUNTIFS('Test Cases'!D3:D200,D14,'Test Cases'!M3:M200,"Fail")</f>
        <v>0</v>
      </c>
      <c r="H14" s="15">
        <f>COUNTIFS('Test Cases'!D3:D200,D14,'Test Cases'!M3:M200,"Blocked")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5.0"/>
    <col customWidth="1" min="3" max="3" width="17.43"/>
    <col customWidth="1" min="4" max="4" width="29.0"/>
    <col customWidth="1" min="5" max="5" width="33.57"/>
    <col customWidth="1" min="6" max="6" width="31.71"/>
  </cols>
  <sheetData>
    <row r="1">
      <c r="A1" s="22" t="s">
        <v>438</v>
      </c>
      <c r="B1" s="22" t="s">
        <v>439</v>
      </c>
      <c r="C1" s="22" t="s">
        <v>5</v>
      </c>
      <c r="D1" s="22" t="s">
        <v>440</v>
      </c>
      <c r="E1" s="22" t="s">
        <v>10</v>
      </c>
      <c r="F1" s="22" t="s">
        <v>11</v>
      </c>
    </row>
    <row r="2">
      <c r="A2" s="6" t="s">
        <v>22</v>
      </c>
      <c r="B2" s="6" t="s">
        <v>27</v>
      </c>
      <c r="C2" s="5" t="s">
        <v>25</v>
      </c>
      <c r="D2" s="6" t="s">
        <v>28</v>
      </c>
      <c r="E2" s="6" t="s">
        <v>29</v>
      </c>
      <c r="F2" s="6" t="s">
        <v>30</v>
      </c>
    </row>
    <row r="3">
      <c r="A3" s="8" t="s">
        <v>38</v>
      </c>
      <c r="B3" s="8" t="s">
        <v>41</v>
      </c>
      <c r="C3" s="7" t="s">
        <v>25</v>
      </c>
      <c r="D3" s="8" t="s">
        <v>42</v>
      </c>
      <c r="E3" s="8" t="s">
        <v>43</v>
      </c>
      <c r="F3" s="8" t="s">
        <v>44</v>
      </c>
    </row>
    <row r="4">
      <c r="A4" s="6" t="s">
        <v>46</v>
      </c>
      <c r="B4" s="6" t="s">
        <v>49</v>
      </c>
      <c r="C4" s="5" t="s">
        <v>48</v>
      </c>
      <c r="D4" s="6" t="s">
        <v>50</v>
      </c>
      <c r="E4" s="6" t="s">
        <v>51</v>
      </c>
      <c r="F4" s="6" t="s">
        <v>52</v>
      </c>
    </row>
    <row r="5">
      <c r="A5" s="8" t="s">
        <v>55</v>
      </c>
      <c r="B5" s="8" t="s">
        <v>49</v>
      </c>
      <c r="C5" s="7" t="s">
        <v>25</v>
      </c>
      <c r="D5" s="8" t="s">
        <v>57</v>
      </c>
      <c r="E5" s="8" t="s">
        <v>58</v>
      </c>
      <c r="F5" s="8" t="s">
        <v>59</v>
      </c>
    </row>
    <row r="6">
      <c r="A6" s="6" t="s">
        <v>62</v>
      </c>
      <c r="B6" s="6" t="s">
        <v>49</v>
      </c>
      <c r="C6" s="5" t="s">
        <v>25</v>
      </c>
      <c r="D6" s="6" t="s">
        <v>64</v>
      </c>
      <c r="E6" s="6" t="s">
        <v>65</v>
      </c>
      <c r="F6" s="6" t="s">
        <v>66</v>
      </c>
    </row>
    <row r="7">
      <c r="A7" s="8" t="s">
        <v>68</v>
      </c>
      <c r="B7" s="8" t="s">
        <v>71</v>
      </c>
      <c r="C7" s="7" t="s">
        <v>25</v>
      </c>
      <c r="D7" s="8" t="s">
        <v>72</v>
      </c>
      <c r="E7" s="8" t="s">
        <v>73</v>
      </c>
      <c r="F7" s="8" t="s">
        <v>74</v>
      </c>
    </row>
    <row r="8">
      <c r="A8" s="6" t="s">
        <v>77</v>
      </c>
      <c r="B8" s="6" t="s">
        <v>79</v>
      </c>
      <c r="C8" s="5" t="s">
        <v>25</v>
      </c>
      <c r="D8" s="6" t="s">
        <v>80</v>
      </c>
      <c r="E8" s="6" t="s">
        <v>81</v>
      </c>
      <c r="F8" s="6" t="s">
        <v>82</v>
      </c>
    </row>
    <row r="9">
      <c r="A9" s="8" t="s">
        <v>84</v>
      </c>
      <c r="B9" s="8" t="s">
        <v>49</v>
      </c>
      <c r="C9" s="7" t="s">
        <v>48</v>
      </c>
      <c r="D9" s="8" t="s">
        <v>86</v>
      </c>
      <c r="E9" s="8" t="s">
        <v>87</v>
      </c>
      <c r="F9" s="8" t="s">
        <v>88</v>
      </c>
    </row>
    <row r="10">
      <c r="A10" s="6" t="s">
        <v>90</v>
      </c>
      <c r="B10" s="6" t="s">
        <v>79</v>
      </c>
      <c r="C10" s="5" t="s">
        <v>25</v>
      </c>
      <c r="D10" s="6" t="s">
        <v>92</v>
      </c>
      <c r="E10" s="6" t="s">
        <v>93</v>
      </c>
      <c r="F10" s="6" t="s">
        <v>94</v>
      </c>
    </row>
    <row r="11">
      <c r="A11" s="8" t="s">
        <v>100</v>
      </c>
      <c r="B11" s="8" t="s">
        <v>102</v>
      </c>
      <c r="C11" s="7" t="s">
        <v>25</v>
      </c>
      <c r="D11" s="8" t="s">
        <v>103</v>
      </c>
      <c r="E11" s="8" t="s">
        <v>104</v>
      </c>
      <c r="F11" s="8" t="s">
        <v>105</v>
      </c>
    </row>
    <row r="12">
      <c r="A12" s="6" t="s">
        <v>108</v>
      </c>
      <c r="B12" s="6" t="s">
        <v>111</v>
      </c>
      <c r="C12" s="5" t="s">
        <v>48</v>
      </c>
      <c r="D12" s="6" t="s">
        <v>112</v>
      </c>
      <c r="E12" s="6" t="s">
        <v>113</v>
      </c>
      <c r="F12" s="6" t="s">
        <v>114</v>
      </c>
    </row>
    <row r="13">
      <c r="A13" s="8" t="s">
        <v>116</v>
      </c>
      <c r="B13" s="8" t="s">
        <v>118</v>
      </c>
      <c r="C13" s="7" t="s">
        <v>25</v>
      </c>
      <c r="D13" s="8" t="s">
        <v>119</v>
      </c>
      <c r="E13" s="8" t="s">
        <v>73</v>
      </c>
      <c r="F13" s="8" t="s">
        <v>120</v>
      </c>
    </row>
    <row r="14">
      <c r="A14" s="6" t="s">
        <v>123</v>
      </c>
      <c r="B14" s="6" t="s">
        <v>126</v>
      </c>
      <c r="C14" s="5" t="s">
        <v>25</v>
      </c>
      <c r="D14" s="6" t="s">
        <v>127</v>
      </c>
      <c r="E14" s="6" t="s">
        <v>128</v>
      </c>
      <c r="F14" s="6" t="s">
        <v>129</v>
      </c>
    </row>
    <row r="15">
      <c r="A15" s="8" t="s">
        <v>132</v>
      </c>
      <c r="B15" s="8" t="s">
        <v>134</v>
      </c>
      <c r="C15" s="7" t="s">
        <v>25</v>
      </c>
      <c r="D15" s="8" t="s">
        <v>135</v>
      </c>
      <c r="E15" s="8" t="s">
        <v>136</v>
      </c>
      <c r="F15" s="8" t="s">
        <v>137</v>
      </c>
    </row>
    <row r="16">
      <c r="A16" s="6" t="s">
        <v>139</v>
      </c>
      <c r="B16" s="6" t="s">
        <v>141</v>
      </c>
      <c r="C16" s="5" t="s">
        <v>25</v>
      </c>
      <c r="D16" s="6" t="s">
        <v>142</v>
      </c>
      <c r="E16" s="6" t="s">
        <v>136</v>
      </c>
      <c r="F16" s="6" t="s">
        <v>143</v>
      </c>
    </row>
    <row r="17">
      <c r="A17" s="8" t="s">
        <v>145</v>
      </c>
      <c r="B17" s="8" t="s">
        <v>141</v>
      </c>
      <c r="C17" s="7" t="s">
        <v>48</v>
      </c>
      <c r="D17" s="8" t="s">
        <v>147</v>
      </c>
      <c r="E17" s="8" t="s">
        <v>148</v>
      </c>
      <c r="F17" s="8" t="s">
        <v>149</v>
      </c>
    </row>
    <row r="18">
      <c r="A18" s="6" t="s">
        <v>151</v>
      </c>
      <c r="B18" s="6" t="s">
        <v>141</v>
      </c>
      <c r="C18" s="5" t="s">
        <v>25</v>
      </c>
      <c r="D18" s="6" t="s">
        <v>153</v>
      </c>
      <c r="E18" s="6" t="s">
        <v>154</v>
      </c>
      <c r="F18" s="6" t="s">
        <v>155</v>
      </c>
    </row>
    <row r="19">
      <c r="A19" s="8" t="s">
        <v>157</v>
      </c>
      <c r="B19" s="8" t="s">
        <v>159</v>
      </c>
      <c r="C19" s="7" t="s">
        <v>25</v>
      </c>
      <c r="D19" s="8" t="s">
        <v>160</v>
      </c>
      <c r="E19" s="8" t="s">
        <v>161</v>
      </c>
      <c r="F19" s="8" t="s">
        <v>162</v>
      </c>
    </row>
    <row r="20">
      <c r="A20" s="6" t="s">
        <v>165</v>
      </c>
      <c r="B20" s="6" t="s">
        <v>141</v>
      </c>
      <c r="C20" s="5" t="s">
        <v>48</v>
      </c>
      <c r="D20" s="6" t="s">
        <v>167</v>
      </c>
      <c r="E20" s="6" t="s">
        <v>136</v>
      </c>
      <c r="F20" s="6" t="s">
        <v>168</v>
      </c>
    </row>
    <row r="21">
      <c r="A21" s="8" t="s">
        <v>171</v>
      </c>
      <c r="B21" s="8" t="s">
        <v>173</v>
      </c>
      <c r="C21" s="7" t="s">
        <v>25</v>
      </c>
      <c r="D21" s="8" t="s">
        <v>174</v>
      </c>
      <c r="E21" s="8" t="s">
        <v>175</v>
      </c>
      <c r="F21" s="8" t="s">
        <v>176</v>
      </c>
    </row>
    <row r="22">
      <c r="A22" s="6" t="s">
        <v>178</v>
      </c>
      <c r="B22" s="6" t="s">
        <v>181</v>
      </c>
      <c r="C22" s="5" t="s">
        <v>25</v>
      </c>
      <c r="D22" s="6" t="s">
        <v>182</v>
      </c>
      <c r="E22" s="6" t="s">
        <v>183</v>
      </c>
      <c r="F22" s="6" t="s">
        <v>184</v>
      </c>
    </row>
    <row r="23">
      <c r="A23" s="8" t="s">
        <v>186</v>
      </c>
      <c r="B23" s="8" t="s">
        <v>188</v>
      </c>
      <c r="C23" s="7" t="s">
        <v>25</v>
      </c>
      <c r="D23" s="8" t="s">
        <v>189</v>
      </c>
      <c r="E23" s="8" t="s">
        <v>190</v>
      </c>
      <c r="F23" s="8" t="s">
        <v>191</v>
      </c>
    </row>
    <row r="24">
      <c r="A24" s="6" t="s">
        <v>193</v>
      </c>
      <c r="B24" s="6" t="s">
        <v>195</v>
      </c>
      <c r="C24" s="5" t="s">
        <v>25</v>
      </c>
      <c r="D24" s="6" t="s">
        <v>196</v>
      </c>
      <c r="E24" s="6" t="s">
        <v>197</v>
      </c>
      <c r="F24" s="6" t="s">
        <v>198</v>
      </c>
    </row>
    <row r="25">
      <c r="A25" s="8" t="s">
        <v>203</v>
      </c>
      <c r="B25" s="8" t="s">
        <v>181</v>
      </c>
      <c r="C25" s="7" t="s">
        <v>25</v>
      </c>
      <c r="D25" s="8" t="s">
        <v>205</v>
      </c>
      <c r="E25" s="8" t="s">
        <v>206</v>
      </c>
      <c r="F25" s="8" t="s">
        <v>207</v>
      </c>
    </row>
    <row r="26">
      <c r="A26" s="6" t="s">
        <v>209</v>
      </c>
      <c r="B26" s="6" t="s">
        <v>211</v>
      </c>
      <c r="C26" s="5" t="s">
        <v>48</v>
      </c>
      <c r="D26" s="6" t="s">
        <v>212</v>
      </c>
      <c r="E26" s="6" t="s">
        <v>213</v>
      </c>
      <c r="F26" s="6" t="s">
        <v>214</v>
      </c>
    </row>
    <row r="27">
      <c r="A27" s="8" t="s">
        <v>216</v>
      </c>
      <c r="B27" s="8" t="s">
        <v>218</v>
      </c>
      <c r="C27" s="7" t="s">
        <v>48</v>
      </c>
      <c r="D27" s="8" t="s">
        <v>219</v>
      </c>
      <c r="E27" s="8" t="s">
        <v>220</v>
      </c>
      <c r="F27" s="8" t="s">
        <v>221</v>
      </c>
    </row>
    <row r="28">
      <c r="A28" s="6" t="s">
        <v>223</v>
      </c>
      <c r="B28" s="6" t="s">
        <v>225</v>
      </c>
      <c r="C28" s="5" t="s">
        <v>48</v>
      </c>
      <c r="D28" s="6" t="s">
        <v>226</v>
      </c>
      <c r="E28" s="6" t="s">
        <v>227</v>
      </c>
      <c r="F28" s="6" t="s">
        <v>228</v>
      </c>
    </row>
    <row r="29">
      <c r="A29" s="8" t="s">
        <v>230</v>
      </c>
      <c r="B29" s="8" t="s">
        <v>225</v>
      </c>
      <c r="C29" s="7" t="s">
        <v>25</v>
      </c>
      <c r="D29" s="8" t="s">
        <v>232</v>
      </c>
      <c r="E29" s="8" t="s">
        <v>136</v>
      </c>
      <c r="F29" s="8" t="s">
        <v>233</v>
      </c>
    </row>
    <row r="30">
      <c r="A30" s="6" t="s">
        <v>235</v>
      </c>
      <c r="B30" s="6" t="s">
        <v>181</v>
      </c>
      <c r="C30" s="5" t="s">
        <v>25</v>
      </c>
      <c r="D30" s="6" t="s">
        <v>238</v>
      </c>
      <c r="E30" s="6" t="s">
        <v>239</v>
      </c>
      <c r="F30" s="6" t="s">
        <v>240</v>
      </c>
    </row>
    <row r="31">
      <c r="A31" s="8" t="s">
        <v>242</v>
      </c>
      <c r="B31" s="8" t="s">
        <v>181</v>
      </c>
      <c r="C31" s="7" t="s">
        <v>48</v>
      </c>
      <c r="D31" s="8" t="s">
        <v>244</v>
      </c>
      <c r="E31" s="8" t="s">
        <v>245</v>
      </c>
      <c r="F31" s="8" t="s">
        <v>246</v>
      </c>
    </row>
    <row r="32">
      <c r="A32" s="6" t="s">
        <v>248</v>
      </c>
      <c r="B32" s="6" t="s">
        <v>181</v>
      </c>
      <c r="C32" s="5" t="s">
        <v>48</v>
      </c>
      <c r="D32" s="6" t="s">
        <v>250</v>
      </c>
      <c r="E32" s="6" t="s">
        <v>251</v>
      </c>
      <c r="F32" s="6" t="s">
        <v>252</v>
      </c>
    </row>
    <row r="33">
      <c r="A33" s="8" t="s">
        <v>254</v>
      </c>
      <c r="B33" s="8" t="s">
        <v>256</v>
      </c>
      <c r="C33" s="7" t="s">
        <v>25</v>
      </c>
      <c r="D33" s="8" t="s">
        <v>257</v>
      </c>
      <c r="E33" s="8" t="s">
        <v>258</v>
      </c>
      <c r="F33" s="8" t="s">
        <v>259</v>
      </c>
    </row>
    <row r="34">
      <c r="A34" s="6" t="s">
        <v>261</v>
      </c>
      <c r="B34" s="6" t="s">
        <v>264</v>
      </c>
      <c r="C34" s="5" t="s">
        <v>25</v>
      </c>
      <c r="D34" s="6" t="s">
        <v>265</v>
      </c>
      <c r="E34" s="6" t="s">
        <v>266</v>
      </c>
      <c r="F34" s="6" t="s">
        <v>267</v>
      </c>
    </row>
    <row r="35">
      <c r="A35" s="8" t="s">
        <v>269</v>
      </c>
      <c r="B35" s="8" t="s">
        <v>271</v>
      </c>
      <c r="C35" s="7" t="s">
        <v>25</v>
      </c>
      <c r="D35" s="8" t="s">
        <v>272</v>
      </c>
      <c r="E35" s="8" t="s">
        <v>273</v>
      </c>
      <c r="F35" s="8" t="s">
        <v>274</v>
      </c>
    </row>
    <row r="36">
      <c r="A36" s="6" t="s">
        <v>276</v>
      </c>
      <c r="B36" s="6" t="s">
        <v>271</v>
      </c>
      <c r="C36" s="5" t="s">
        <v>48</v>
      </c>
      <c r="D36" s="6" t="s">
        <v>278</v>
      </c>
      <c r="E36" s="6" t="s">
        <v>273</v>
      </c>
      <c r="F36" s="6" t="s">
        <v>279</v>
      </c>
    </row>
    <row r="37">
      <c r="A37" s="8" t="s">
        <v>281</v>
      </c>
      <c r="B37" s="8" t="s">
        <v>283</v>
      </c>
      <c r="C37" s="7" t="s">
        <v>48</v>
      </c>
      <c r="D37" s="8" t="s">
        <v>284</v>
      </c>
      <c r="E37" s="8" t="s">
        <v>136</v>
      </c>
      <c r="F37" s="8" t="s">
        <v>285</v>
      </c>
    </row>
    <row r="38">
      <c r="A38" s="6" t="s">
        <v>287</v>
      </c>
      <c r="B38" s="6" t="s">
        <v>289</v>
      </c>
      <c r="C38" s="5" t="s">
        <v>48</v>
      </c>
      <c r="D38" s="6" t="s">
        <v>290</v>
      </c>
      <c r="E38" s="6" t="s">
        <v>136</v>
      </c>
      <c r="F38" s="6" t="s">
        <v>291</v>
      </c>
    </row>
    <row r="39">
      <c r="A39" s="8" t="s">
        <v>293</v>
      </c>
      <c r="B39" s="8" t="s">
        <v>296</v>
      </c>
      <c r="C39" s="7" t="s">
        <v>25</v>
      </c>
      <c r="D39" s="8" t="s">
        <v>297</v>
      </c>
      <c r="E39" s="8" t="s">
        <v>298</v>
      </c>
      <c r="F39" s="8" t="s">
        <v>299</v>
      </c>
    </row>
    <row r="40">
      <c r="A40" s="6" t="s">
        <v>301</v>
      </c>
      <c r="B40" s="6" t="s">
        <v>303</v>
      </c>
      <c r="C40" s="5" t="s">
        <v>25</v>
      </c>
      <c r="D40" s="6" t="s">
        <v>304</v>
      </c>
      <c r="E40" s="6" t="s">
        <v>305</v>
      </c>
      <c r="F40" s="6" t="s">
        <v>306</v>
      </c>
    </row>
    <row r="41">
      <c r="A41" s="8" t="s">
        <v>308</v>
      </c>
      <c r="B41" s="8" t="s">
        <v>310</v>
      </c>
      <c r="C41" s="7" t="s">
        <v>25</v>
      </c>
      <c r="D41" s="8" t="s">
        <v>311</v>
      </c>
      <c r="E41" s="8" t="s">
        <v>312</v>
      </c>
      <c r="F41" s="8" t="s">
        <v>313</v>
      </c>
    </row>
    <row r="42">
      <c r="A42" s="6" t="s">
        <v>315</v>
      </c>
      <c r="B42" s="6" t="s">
        <v>317</v>
      </c>
      <c r="C42" s="5" t="s">
        <v>48</v>
      </c>
      <c r="D42" s="6" t="s">
        <v>318</v>
      </c>
      <c r="E42" s="6" t="s">
        <v>136</v>
      </c>
      <c r="F42" s="6" t="s">
        <v>319</v>
      </c>
    </row>
    <row r="43">
      <c r="A43" s="8" t="s">
        <v>321</v>
      </c>
      <c r="B43" s="8" t="s">
        <v>324</v>
      </c>
      <c r="C43" s="7" t="s">
        <v>25</v>
      </c>
      <c r="D43" s="8" t="s">
        <v>325</v>
      </c>
      <c r="E43" s="8" t="s">
        <v>326</v>
      </c>
      <c r="F43" s="8" t="s">
        <v>327</v>
      </c>
    </row>
    <row r="44">
      <c r="A44" s="6" t="s">
        <v>329</v>
      </c>
      <c r="B44" s="6" t="s">
        <v>331</v>
      </c>
      <c r="C44" s="5" t="s">
        <v>25</v>
      </c>
      <c r="D44" s="6" t="s">
        <v>332</v>
      </c>
      <c r="E44" s="6" t="s">
        <v>333</v>
      </c>
      <c r="F44" s="6" t="s">
        <v>334</v>
      </c>
    </row>
    <row r="45">
      <c r="A45" s="8" t="s">
        <v>336</v>
      </c>
      <c r="B45" s="8" t="s">
        <v>338</v>
      </c>
      <c r="C45" s="7" t="s">
        <v>48</v>
      </c>
      <c r="D45" s="8" t="s">
        <v>339</v>
      </c>
      <c r="E45" s="8" t="s">
        <v>136</v>
      </c>
      <c r="F45" s="8" t="s">
        <v>340</v>
      </c>
    </row>
    <row r="46">
      <c r="A46" s="6" t="s">
        <v>344</v>
      </c>
      <c r="B46" s="6" t="s">
        <v>347</v>
      </c>
      <c r="C46" s="5" t="s">
        <v>25</v>
      </c>
      <c r="D46" s="6" t="s">
        <v>348</v>
      </c>
      <c r="E46" s="6" t="s">
        <v>349</v>
      </c>
      <c r="F46" s="6" t="s">
        <v>350</v>
      </c>
    </row>
    <row r="47">
      <c r="A47" s="8" t="s">
        <v>352</v>
      </c>
      <c r="B47" s="8" t="s">
        <v>181</v>
      </c>
      <c r="C47" s="7" t="s">
        <v>25</v>
      </c>
      <c r="D47" s="8" t="s">
        <v>354</v>
      </c>
      <c r="E47" s="8" t="s">
        <v>355</v>
      </c>
      <c r="F47" s="8" t="s">
        <v>356</v>
      </c>
    </row>
    <row r="48">
      <c r="A48" s="6" t="s">
        <v>358</v>
      </c>
      <c r="B48" s="6" t="s">
        <v>181</v>
      </c>
      <c r="C48" s="5" t="s">
        <v>48</v>
      </c>
      <c r="D48" s="6" t="s">
        <v>360</v>
      </c>
      <c r="E48" s="6" t="s">
        <v>361</v>
      </c>
      <c r="F48" s="6" t="s">
        <v>362</v>
      </c>
    </row>
    <row r="49">
      <c r="A49" s="8" t="s">
        <v>364</v>
      </c>
      <c r="B49" s="8" t="s">
        <v>181</v>
      </c>
      <c r="C49" s="7" t="s">
        <v>48</v>
      </c>
      <c r="D49" s="8" t="s">
        <v>367</v>
      </c>
      <c r="E49" s="8" t="s">
        <v>368</v>
      </c>
      <c r="F49" s="8" t="s">
        <v>369</v>
      </c>
    </row>
    <row r="50">
      <c r="A50" s="6" t="s">
        <v>371</v>
      </c>
      <c r="B50" s="6" t="s">
        <v>373</v>
      </c>
      <c r="C50" s="5" t="s">
        <v>48</v>
      </c>
      <c r="D50" s="6" t="s">
        <v>374</v>
      </c>
      <c r="E50" s="6" t="s">
        <v>375</v>
      </c>
      <c r="F50" s="6" t="s">
        <v>376</v>
      </c>
    </row>
    <row r="51">
      <c r="A51" s="8" t="s">
        <v>378</v>
      </c>
      <c r="B51" s="8" t="s">
        <v>381</v>
      </c>
      <c r="C51" s="7" t="s">
        <v>48</v>
      </c>
      <c r="D51" s="8" t="s">
        <v>382</v>
      </c>
      <c r="E51" s="8" t="s">
        <v>383</v>
      </c>
      <c r="F51" s="8" t="s">
        <v>384</v>
      </c>
    </row>
    <row r="52">
      <c r="A52" s="6" t="s">
        <v>386</v>
      </c>
      <c r="B52" s="6" t="s">
        <v>388</v>
      </c>
      <c r="C52" s="5" t="s">
        <v>25</v>
      </c>
      <c r="D52" s="6" t="s">
        <v>389</v>
      </c>
      <c r="E52" s="6" t="s">
        <v>390</v>
      </c>
      <c r="F52" s="6" t="s">
        <v>391</v>
      </c>
    </row>
    <row r="53">
      <c r="A53" s="8" t="s">
        <v>394</v>
      </c>
      <c r="B53" s="8" t="s">
        <v>396</v>
      </c>
      <c r="C53" s="7" t="s">
        <v>25</v>
      </c>
      <c r="D53" s="8" t="s">
        <v>397</v>
      </c>
      <c r="E53" s="8" t="s">
        <v>398</v>
      </c>
      <c r="F53" s="8" t="s">
        <v>399</v>
      </c>
    </row>
    <row r="54">
      <c r="A54" s="6" t="s">
        <v>405</v>
      </c>
      <c r="B54" s="6" t="s">
        <v>407</v>
      </c>
      <c r="C54" s="5" t="s">
        <v>25</v>
      </c>
      <c r="D54" s="6" t="s">
        <v>408</v>
      </c>
      <c r="E54" s="6" t="s">
        <v>136</v>
      </c>
      <c r="F54" s="6" t="s">
        <v>409</v>
      </c>
    </row>
    <row r="55">
      <c r="A55" s="8" t="s">
        <v>411</v>
      </c>
      <c r="B55" s="8" t="s">
        <v>413</v>
      </c>
      <c r="C55" s="7" t="s">
        <v>25</v>
      </c>
      <c r="D55" s="8" t="s">
        <v>414</v>
      </c>
      <c r="E55" s="8" t="s">
        <v>415</v>
      </c>
      <c r="F55" s="8" t="s">
        <v>416</v>
      </c>
    </row>
    <row r="56">
      <c r="A56" s="6" t="s">
        <v>418</v>
      </c>
      <c r="B56" s="6" t="s">
        <v>420</v>
      </c>
      <c r="C56" s="5" t="s">
        <v>48</v>
      </c>
      <c r="D56" s="6" t="s">
        <v>421</v>
      </c>
      <c r="E56" s="6" t="s">
        <v>422</v>
      </c>
      <c r="F56" s="6" t="s">
        <v>423</v>
      </c>
    </row>
  </sheetData>
  <conditionalFormatting sqref="C2:C56">
    <cfRule type="cellIs" dxfId="3" priority="1" operator="equal">
      <formula>"High"</formula>
    </cfRule>
  </conditionalFormatting>
  <conditionalFormatting sqref="C2:C56">
    <cfRule type="cellIs" dxfId="4" priority="2" operator="equal">
      <formula>"Medium"</formula>
    </cfRule>
  </conditionalFormatting>
  <conditionalFormatting sqref="C2:C56">
    <cfRule type="cellIs" dxfId="5" priority="3" operator="equal">
      <formula>"Low"</formula>
    </cfRule>
  </conditionalFormatting>
  <dataValidations>
    <dataValidation type="list" allowBlank="1" sqref="C2:C56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2026-04-05T07:01:27Z</dcterms:created>
  <dc:creator>openpyxl</dc:creator>
</cp:coreProperties>
</file>